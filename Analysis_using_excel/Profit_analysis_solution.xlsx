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Project01_datamites\"/>
    </mc:Choice>
  </mc:AlternateContent>
  <xr:revisionPtr revIDLastSave="0" documentId="13_ncr:1_{8F5804C8-FAC8-4882-9100-AD78648715D5}" xr6:coauthVersionLast="47" xr6:coauthVersionMax="47" xr10:uidLastSave="{00000000-0000-0000-0000-000000000000}"/>
  <bookViews>
    <workbookView xWindow="-110" yWindow="-110" windowWidth="19420" windowHeight="10300" activeTab="3" xr2:uid="{B8900505-8265-4E7A-B9B4-D04819919F86}"/>
  </bookViews>
  <sheets>
    <sheet name="startup_table" sheetId="1" r:id="rId1"/>
    <sheet name="Outliers" sheetId="3" r:id="rId2"/>
    <sheet name="Cleaned_data" sheetId="4" r:id="rId3"/>
    <sheet name="Regression_analysis" sheetId="5" r:id="rId4"/>
  </sheets>
  <calcPr calcId="191029"/>
</workbook>
</file>

<file path=xl/calcChain.xml><?xml version="1.0" encoding="utf-8"?>
<calcChain xmlns="http://schemas.openxmlformats.org/spreadsheetml/2006/main">
  <c r="H73" i="5" l="1"/>
  <c r="G4" i="3" l="1"/>
  <c r="G13" i="3"/>
  <c r="H82" i="5"/>
  <c r="J4" i="3" l="1"/>
  <c r="I13" i="3"/>
  <c r="K13" i="3" s="1"/>
  <c r="H13" i="3"/>
  <c r="J13" i="3" l="1"/>
  <c r="F24" i="3" l="1"/>
  <c r="F36" i="3"/>
  <c r="F48" i="3"/>
  <c r="F60" i="3"/>
  <c r="F25" i="3"/>
  <c r="F37" i="3"/>
  <c r="F49" i="3"/>
  <c r="F61" i="3"/>
  <c r="F14" i="3"/>
  <c r="F26" i="3"/>
  <c r="F38" i="3"/>
  <c r="F50" i="3"/>
  <c r="F62" i="3"/>
  <c r="F15" i="3"/>
  <c r="F27" i="3"/>
  <c r="F39" i="3"/>
  <c r="F51" i="3"/>
  <c r="F13" i="3"/>
  <c r="F16" i="3"/>
  <c r="F28" i="3"/>
  <c r="F40" i="3"/>
  <c r="F52" i="3"/>
  <c r="F17" i="3"/>
  <c r="F29" i="3"/>
  <c r="F41" i="3"/>
  <c r="F53" i="3"/>
  <c r="F18" i="3"/>
  <c r="F30" i="3"/>
  <c r="F42" i="3"/>
  <c r="F54" i="3"/>
  <c r="F19" i="3"/>
  <c r="F31" i="3"/>
  <c r="F43" i="3"/>
  <c r="F55" i="3"/>
  <c r="F20" i="3"/>
  <c r="F32" i="3"/>
  <c r="F44" i="3"/>
  <c r="F56" i="3"/>
  <c r="F21" i="3"/>
  <c r="F33" i="3"/>
  <c r="F45" i="3"/>
  <c r="F57" i="3"/>
  <c r="F22" i="3"/>
  <c r="F34" i="3"/>
  <c r="F46" i="3"/>
  <c r="F58" i="3"/>
  <c r="F23" i="3"/>
  <c r="F35" i="3"/>
  <c r="F47" i="3"/>
  <c r="F59" i="3"/>
</calcChain>
</file>

<file path=xl/sharedStrings.xml><?xml version="1.0" encoding="utf-8"?>
<sst xmlns="http://schemas.openxmlformats.org/spreadsheetml/2006/main" count="408" uniqueCount="69">
  <si>
    <t>RD_Spend</t>
  </si>
  <si>
    <t>Administration</t>
  </si>
  <si>
    <t>Marketing_Spend</t>
  </si>
  <si>
    <t>State</t>
  </si>
  <si>
    <t>Profit</t>
  </si>
  <si>
    <t>New York</t>
  </si>
  <si>
    <t>California</t>
  </si>
  <si>
    <t>Florida</t>
  </si>
  <si>
    <t>R&amp;D Spend</t>
  </si>
  <si>
    <t>Marketing Spend</t>
  </si>
  <si>
    <r>
      <t>1.</t>
    </r>
    <r>
      <rPr>
        <sz val="7"/>
        <color rgb="FF3C4043"/>
        <rFont val="Times New Roman"/>
        <family val="1"/>
      </rPr>
      <t xml:space="preserve">    </t>
    </r>
    <r>
      <rPr>
        <sz val="14"/>
        <color rgb="FF3C4043"/>
        <rFont val="Times New Roman"/>
        <family val="1"/>
      </rPr>
      <t>Get data from the database with the given credentials.</t>
    </r>
  </si>
  <si>
    <r>
      <t>2.</t>
    </r>
    <r>
      <rPr>
        <sz val="7"/>
        <color rgb="FF3C4043"/>
        <rFont val="Times New Roman"/>
        <family val="1"/>
      </rPr>
      <t xml:space="preserve">    </t>
    </r>
    <r>
      <rPr>
        <sz val="14"/>
        <color rgb="FF3C4043"/>
        <rFont val="Times New Roman"/>
        <family val="1"/>
      </rPr>
      <t>Perform Regression Analysis for the given data to identify how the money spent on Marketing, R&amp;D, and Administration is affecting the company’s Profit. Predict the Profit for the below-given input features.</t>
    </r>
  </si>
  <si>
    <t>Outlier?</t>
  </si>
  <si>
    <t>Q1</t>
  </si>
  <si>
    <t>Q3</t>
  </si>
  <si>
    <t>IQR</t>
  </si>
  <si>
    <t>Upper bound</t>
  </si>
  <si>
    <t>Lower bound</t>
  </si>
  <si>
    <t>Mean of profit</t>
  </si>
  <si>
    <t>Standard Dev</t>
  </si>
  <si>
    <t>During data preprocessing, I identified one outlier in the Profit column. To handle it, I replaced the outlier with the mean value of the Profit column so that the data becomes more consistent and does not distort the analysis</t>
  </si>
  <si>
    <t>OUTLIER</t>
  </si>
  <si>
    <t>Controllable Variables are :------  RD_Spend, Administration, Marketing_Spend,</t>
  </si>
  <si>
    <t>Target Variable :------- Profit</t>
  </si>
  <si>
    <t>where m is Coefficient  and C is slope</t>
  </si>
  <si>
    <t xml:space="preserve">To find relation between independent variables and target variable will have to refer Regression analysis equation ------  mx+c </t>
  </si>
  <si>
    <t>Correlation between R&amp;D, Marketing, Admin vs. Profit.</t>
  </si>
  <si>
    <t>Y=m1x1+m2x2+m3x3+C</t>
  </si>
  <si>
    <t>x1=RD_Spend</t>
  </si>
  <si>
    <t>x2=Administration</t>
  </si>
  <si>
    <t>x3=Marketing_spend</t>
  </si>
  <si>
    <t>REGRESSION ANALYSIS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</si>
  <si>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</si>
  <si>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</si>
  <si>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</si>
  <si>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</si>
  <si>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</si>
  <si>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</si>
  <si>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</si>
  <si>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</si>
  <si>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</si>
  <si>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</si>
  <si>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</si>
  <si>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</si>
  <si>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</si>
  <si>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</si>
  <si>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</si>
  <si>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</si>
  <si>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</si>
  <si>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</si>
  <si>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</si>
  <si>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</si>
  <si>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</si>
  <si>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</si>
  <si>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</si>
  <si>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</si>
  <si>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r>
      <t>P</t>
    </r>
    <r>
      <rPr>
        <sz val="14"/>
        <color rgb="FF002060"/>
        <rFont val="Times New Roman"/>
        <family val="1"/>
      </rPr>
      <t>rofit= 0.7447*(RD_Spent)+(-0.0144)*(Administration)+0.0218*(Marketing_Spend)+56192</t>
    </r>
  </si>
  <si>
    <t>1)</t>
  </si>
  <si>
    <t>2)</t>
  </si>
  <si>
    <t>Marketing Spend--------------------------</t>
  </si>
  <si>
    <t>Administration ---------------------------</t>
  </si>
  <si>
    <t>RD Spend----------------------------------</t>
  </si>
  <si>
    <t>As "State" is categorical (New York, California, Florida), as of now  it will be considered as dummy variable.</t>
  </si>
  <si>
    <t>Predicted Profit</t>
  </si>
  <si>
    <t>State dummies present (Florida, New York) — not significant here.</t>
  </si>
  <si>
    <t>Intercept ≈ 56192.0027667767</t>
  </si>
  <si>
    <r>
      <t>R&amp;D Spend</t>
    </r>
    <r>
      <rPr>
        <b/>
        <sz val="14"/>
        <color rgb="FFFF0000"/>
        <rFont val="Times New Roman"/>
        <family val="1"/>
      </rPr>
      <t xml:space="preserve"> </t>
    </r>
    <r>
      <rPr>
        <b/>
        <sz val="14"/>
        <color theme="1"/>
        <rFont val="Times New Roman"/>
        <family val="1"/>
      </rPr>
      <t>≈</t>
    </r>
    <r>
      <rPr>
        <b/>
        <sz val="14"/>
        <color rgb="FFFF0000"/>
        <rFont val="Times New Roman"/>
        <family val="1"/>
      </rPr>
      <t>0.744939  (p-value ≈3.30364E-17</t>
    </r>
    <r>
      <rPr>
        <b/>
        <sz val="14"/>
        <color theme="1"/>
        <rFont val="Times New Roman"/>
        <family val="1"/>
      </rPr>
      <t>,</t>
    </r>
    <r>
      <rPr>
        <sz val="14"/>
        <color theme="1"/>
        <rFont val="Times New Roman"/>
        <family val="2"/>
      </rPr>
      <t xml:space="preserve"> strongly significant)</t>
    </r>
  </si>
  <si>
    <r>
      <t xml:space="preserve">Marketing Spend </t>
    </r>
    <r>
      <rPr>
        <b/>
        <sz val="14"/>
        <color theme="1"/>
        <rFont val="Times New Roman"/>
        <family val="1"/>
      </rPr>
      <t>≈</t>
    </r>
    <r>
      <rPr>
        <b/>
        <sz val="14"/>
        <color rgb="FFFF0000"/>
        <rFont val="Times New Roman"/>
        <family val="1"/>
      </rPr>
      <t xml:space="preserve"> 0.0218</t>
    </r>
    <r>
      <rPr>
        <sz val="14"/>
        <color rgb="FFFF0000"/>
        <rFont val="Times New Roman"/>
        <family val="1"/>
      </rPr>
      <t xml:space="preserve"> (p ≈ </t>
    </r>
    <r>
      <rPr>
        <b/>
        <sz val="14"/>
        <color rgb="FFFF0000"/>
        <rFont val="Times New Roman"/>
        <family val="1"/>
      </rPr>
      <t>0.294</t>
    </r>
    <r>
      <rPr>
        <b/>
        <sz val="14"/>
        <color theme="1"/>
        <rFont val="Times New Roman"/>
        <family val="1"/>
      </rPr>
      <t>,</t>
    </r>
    <r>
      <rPr>
        <sz val="14"/>
        <color theme="1"/>
        <rFont val="Times New Roman"/>
        <family val="2"/>
      </rPr>
      <t xml:space="preserve"> not significant at 0.05)</t>
    </r>
  </si>
  <si>
    <r>
      <t xml:space="preserve">Administration </t>
    </r>
    <r>
      <rPr>
        <b/>
        <sz val="14"/>
        <color theme="1"/>
        <rFont val="Times New Roman"/>
        <family val="1"/>
      </rPr>
      <t>≈</t>
    </r>
    <r>
      <rPr>
        <b/>
        <sz val="14"/>
        <color rgb="FFFF0000"/>
        <rFont val="Times New Roman"/>
        <family val="1"/>
      </rPr>
      <t>-0.0144  (p ≈ 0.822</t>
    </r>
    <r>
      <rPr>
        <sz val="14"/>
        <color theme="1"/>
        <rFont val="Times New Roman"/>
        <family val="2"/>
      </rPr>
      <t>, not significant)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</si>
</sst>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000000000000000000000000000000000000000000000000000E+00"/>
  </numFmts>
  <fonts count="28" x14ac:knownFonts="1">
    <font>
      <sz val="14"/>
      <color theme="1"/>
      <name val="Times New Roman"/>
      <family val="2"/>
    </font>
    <font>
      <sz val="14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4"/>
      <color rgb="FF006100"/>
      <name val="Times New Roman"/>
      <family val="2"/>
    </font>
    <font>
      <sz val="14"/>
      <color rgb="FF9C0006"/>
      <name val="Times New Roman"/>
      <family val="2"/>
    </font>
    <font>
      <sz val="14"/>
      <color rgb="FF9C5700"/>
      <name val="Times New Roman"/>
      <family val="2"/>
    </font>
    <font>
      <sz val="14"/>
      <color rgb="FF3F3F76"/>
      <name val="Times New Roman"/>
      <family val="2"/>
    </font>
    <font>
      <b/>
      <sz val="14"/>
      <color rgb="FF3F3F3F"/>
      <name val="Times New Roman"/>
      <family val="2"/>
    </font>
    <font>
      <b/>
      <sz val="14"/>
      <color rgb="FFFA7D00"/>
      <name val="Times New Roman"/>
      <family val="2"/>
    </font>
    <font>
      <sz val="14"/>
      <color rgb="FFFA7D00"/>
      <name val="Times New Roman"/>
      <family val="2"/>
    </font>
    <font>
      <b/>
      <sz val="14"/>
      <color theme="0"/>
      <name val="Times New Roman"/>
      <family val="2"/>
    </font>
    <font>
      <sz val="14"/>
      <color rgb="FFFF0000"/>
      <name val="Times New Roman"/>
      <family val="2"/>
    </font>
    <font>
      <i/>
      <sz val="14"/>
      <color rgb="FF7F7F7F"/>
      <name val="Times New Roman"/>
      <family val="2"/>
    </font>
    <font>
      <b/>
      <sz val="14"/>
      <color theme="1"/>
      <name val="Times New Roman"/>
      <family val="2"/>
    </font>
    <font>
      <sz val="14"/>
      <color theme="0"/>
      <name val="Times New Roman"/>
      <family val="2"/>
    </font>
    <font>
      <sz val="7"/>
      <color rgb="FF3C4043"/>
      <name val="Times New Roman"/>
      <family val="1"/>
    </font>
    <font>
      <sz val="14"/>
      <color rgb="FF3C4043"/>
      <name val="Times New Roman"/>
      <family val="1"/>
    </font>
    <font>
      <sz val="14"/>
      <color theme="1"/>
      <name val="Times New Roman"/>
      <family val="1"/>
    </font>
    <font>
      <b/>
      <sz val="14"/>
      <color rgb="FF3C4043"/>
      <name val="Times New Roman"/>
      <family val="1"/>
    </font>
    <font>
      <sz val="14"/>
      <color rgb="FFC00000"/>
      <name val="Times New Roman"/>
      <family val="2"/>
    </font>
    <font>
      <sz val="14"/>
      <color rgb="FFFF0000"/>
      <name val="Times New Roman"/>
      <family val="1"/>
    </font>
    <font>
      <sz val="14"/>
      <color rgb="FF002060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2"/>
    </font>
    <font>
      <b/>
      <sz val="14"/>
      <color rgb="FFFF0000"/>
      <name val="Times New Roman"/>
      <family val="1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19" fillId="0" borderId="0" xfId="0" applyFont="1" applyAlignment="1">
      <alignment horizontal="left" vertical="center" indent="3"/>
    </xf>
    <xf numFmtId="0" fontId="20" fillId="0" borderId="0" xfId="0" applyFont="1"/>
    <xf numFmtId="0" fontId="21" fillId="34" borderId="0" xfId="0" applyFont="1" applyFill="1" applyAlignment="1">
      <alignment vertical="center" wrapText="1"/>
    </xf>
    <xf numFmtId="0" fontId="19" fillId="34" borderId="0" xfId="0" applyFont="1" applyFill="1" applyAlignment="1">
      <alignment vertical="center" wrapText="1"/>
    </xf>
    <xf numFmtId="0" fontId="19" fillId="35" borderId="0" xfId="0" applyFont="1" applyFill="1" applyAlignment="1">
      <alignment horizontal="left" vertical="center" indent="3"/>
    </xf>
    <xf numFmtId="0" fontId="20" fillId="35" borderId="0" xfId="0" applyFont="1" applyFill="1"/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 vertical="center"/>
    </xf>
    <xf numFmtId="0" fontId="22" fillId="36" borderId="0" xfId="0" applyFont="1" applyFill="1" applyAlignment="1">
      <alignment horizontal="center"/>
    </xf>
    <xf numFmtId="0" fontId="22" fillId="36" borderId="0" xfId="0" applyFont="1" applyFill="1"/>
    <xf numFmtId="0" fontId="23" fillId="0" borderId="0" xfId="0" applyFont="1"/>
    <xf numFmtId="0" fontId="25" fillId="37" borderId="0" xfId="0" applyFont="1" applyFill="1"/>
    <xf numFmtId="0" fontId="0" fillId="37" borderId="0" xfId="0" applyFill="1"/>
    <xf numFmtId="0" fontId="21" fillId="38" borderId="0" xfId="0" applyFont="1" applyFill="1" applyAlignment="1">
      <alignment vertical="center" wrapText="1"/>
    </xf>
    <xf numFmtId="0" fontId="0" fillId="39" borderId="0" xfId="0" applyFill="1"/>
    <xf numFmtId="0" fontId="0" fillId="38" borderId="0" xfId="0" applyFill="1" applyAlignment="1">
      <alignment horizontal="center"/>
    </xf>
    <xf numFmtId="0" fontId="0" fillId="40" borderId="0" xfId="0" applyFill="1"/>
    <xf numFmtId="0" fontId="0" fillId="41" borderId="0" xfId="0" applyFill="1"/>
    <xf numFmtId="0" fontId="26" fillId="42" borderId="11" xfId="0" applyFont="1" applyFill="1" applyBorder="1" applyAlignment="1">
      <alignment horizontal="centerContinuous"/>
    </xf>
    <xf numFmtId="0" fontId="0" fillId="42" borderId="0" xfId="0" applyFill="1"/>
    <xf numFmtId="0" fontId="0" fillId="42" borderId="10" xfId="0" applyFill="1" applyBorder="1"/>
    <xf numFmtId="0" fontId="26" fillId="42" borderId="11" xfId="0" applyFont="1" applyFill="1" applyBorder="1" applyAlignment="1">
      <alignment horizontal="center"/>
    </xf>
    <xf numFmtId="0" fontId="0" fillId="43" borderId="0" xfId="0" applyFill="1"/>
    <xf numFmtId="0" fontId="0" fillId="41" borderId="0" xfId="0" applyFill="1" applyAlignment="1">
      <alignment horizontal="center"/>
    </xf>
    <xf numFmtId="11" fontId="0" fillId="42" borderId="0" xfId="0" applyNumberFormat="1" applyFill="1"/>
    <xf numFmtId="11" fontId="0" fillId="0" borderId="0" xfId="0" applyNumberFormat="1"/>
    <xf numFmtId="164" fontId="0" fillId="0" borderId="0" xfId="0" applyNumberFormat="1"/>
    <xf numFmtId="0" fontId="0" fillId="43" borderId="0" xfId="0" applyFill="1" applyAlignment="1">
      <alignment horizontal="left" indent="10"/>
    </xf>
    <xf numFmtId="0" fontId="0" fillId="0" borderId="10" xfId="0" applyBorder="1"/>
    <xf numFmtId="0" fontId="26" fillId="0" borderId="11" xfId="0" applyFont="1" applyBorder="1" applyAlignment="1">
      <alignment horizontal="center"/>
    </xf>
    <xf numFmtId="0" fontId="26" fillId="0" borderId="11" xfId="0" applyFont="1" applyBorder="1" applyAlignment="1">
      <alignment horizontal="centerContinuous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45357</xdr:colOff>
      <xdr:row>61</xdr:row>
      <xdr:rowOff>22679</xdr:rowOff>
    </xdr:from>
    <xdr:to>
      <xdr:col>7</xdr:col>
      <xdr:colOff>207337</xdr:colOff>
      <xdr:row>62</xdr:row>
      <xdr:rowOff>0</xdr:rowOff>
    </xdr:to>
    <xdr:sp macro="" textlink="">
      <xdr:nvSpPr>
        <xdr:cNvPr id="3" name="Arrow: Striped Right 2">
          <a:extLst>
            <a:ext uri="{FF2B5EF4-FFF2-40B4-BE49-F238E27FC236}">
              <a16:creationId xmlns:a16="http://schemas.microsoft.com/office/drawing/2014/main" id="{F7F825BF-2422-66AD-E678-BE95EF526281}"/>
            </a:ext>
          </a:extLst>
        </xdr:cNvPr>
        <xdr:cNvSpPr/>
      </xdr:nvSpPr>
      <xdr:spPr>
        <a:xfrm>
          <a:off x="4777619" y="14295060"/>
          <a:ext cx="978408" cy="204107"/>
        </a:xfrm>
        <a:prstGeom prst="strip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34</xdr:row>
      <xdr:rowOff>0</xdr:rowOff>
    </xdr:from>
    <xdr:to>
      <xdr:col>18</xdr:col>
      <xdr:colOff>304800</xdr:colOff>
      <xdr:row>35</xdr:row>
      <xdr:rowOff>76200</xdr:rowOff>
    </xdr:to>
    <xdr:sp macro="" textlink="">
      <xdr:nvSpPr>
        <xdr:cNvPr id="2050" name="AutoShape 2" descr="Output image">
          <a:extLst>
            <a:ext uri="{FF2B5EF4-FFF2-40B4-BE49-F238E27FC236}">
              <a16:creationId xmlns:a16="http://schemas.microsoft.com/office/drawing/2014/main" id="{C6C5021D-EBDA-3AA9-13BC-13EC7EF7FCE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34</xdr:row>
      <xdr:rowOff>0</xdr:rowOff>
    </xdr:from>
    <xdr:to>
      <xdr:col>18</xdr:col>
      <xdr:colOff>304800</xdr:colOff>
      <xdr:row>35</xdr:row>
      <xdr:rowOff>76200</xdr:rowOff>
    </xdr:to>
    <xdr:sp macro="" textlink="">
      <xdr:nvSpPr>
        <xdr:cNvPr id="2051" name="AutoShape 3" descr="Output image">
          <a:extLst>
            <a:ext uri="{FF2B5EF4-FFF2-40B4-BE49-F238E27FC236}">
              <a16:creationId xmlns:a16="http://schemas.microsoft.com/office/drawing/2014/main" id="{B8794710-E409-75C8-9B4D-B0A28F21946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34592</xdr:colOff>
      <xdr:row>52</xdr:row>
      <xdr:rowOff>156334</xdr:rowOff>
    </xdr:from>
    <xdr:to>
      <xdr:col>8</xdr:col>
      <xdr:colOff>1079672</xdr:colOff>
      <xdr:row>52</xdr:row>
      <xdr:rowOff>166054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7D4D2A31-D274-4CF7-0F3C-126A1D4222D5}"/>
                </a:ext>
              </a:extLst>
            </xdr14:cNvPr>
            <xdr14:cNvContentPartPr/>
          </xdr14:nvContentPartPr>
          <xdr14:nvPr macro=""/>
          <xdr14:xfrm>
            <a:off x="9002880" y="12186539"/>
            <a:ext cx="1045080" cy="97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7D4D2A31-D274-4CF7-0F3C-126A1D4222D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931240" y="12042539"/>
              <a:ext cx="1188720" cy="2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182552</xdr:colOff>
      <xdr:row>54</xdr:row>
      <xdr:rowOff>121605</xdr:rowOff>
    </xdr:from>
    <xdr:to>
      <xdr:col>9</xdr:col>
      <xdr:colOff>521912</xdr:colOff>
      <xdr:row>54</xdr:row>
      <xdr:rowOff>156885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D2A134EA-5867-97DB-F900-1BD747B4C396}"/>
                </a:ext>
              </a:extLst>
            </xdr14:cNvPr>
            <xdr14:cNvContentPartPr/>
          </xdr14:nvContentPartPr>
          <xdr14:nvPr macro=""/>
          <xdr14:xfrm>
            <a:off x="9150840" y="12604139"/>
            <a:ext cx="1478880" cy="352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D2A134EA-5867-97DB-F900-1BD747B4C39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078840" y="12460139"/>
              <a:ext cx="1622520" cy="32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808952</xdr:colOff>
      <xdr:row>56</xdr:row>
      <xdr:rowOff>156356</xdr:rowOff>
    </xdr:from>
    <xdr:to>
      <xdr:col>9</xdr:col>
      <xdr:colOff>983072</xdr:colOff>
      <xdr:row>56</xdr:row>
      <xdr:rowOff>191276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4A7A1903-3558-659F-D017-268E41698F2C}"/>
                </a:ext>
              </a:extLst>
            </xdr14:cNvPr>
            <xdr14:cNvContentPartPr/>
          </xdr14:nvContentPartPr>
          <xdr14:nvPr macro=""/>
          <xdr14:xfrm>
            <a:off x="9777240" y="13091219"/>
            <a:ext cx="1313640" cy="349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4A7A1903-3558-659F-D017-268E41698F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705240" y="12947579"/>
              <a:ext cx="1457280" cy="32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66110</xdr:colOff>
      <xdr:row>50</xdr:row>
      <xdr:rowOff>93469</xdr:rowOff>
    </xdr:from>
    <xdr:to>
      <xdr:col>10</xdr:col>
      <xdr:colOff>293197</xdr:colOff>
      <xdr:row>50</xdr:row>
      <xdr:rowOff>142429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4E7480BC-3CA1-EA12-05BF-C1390088ED37}"/>
                </a:ext>
              </a:extLst>
            </xdr14:cNvPr>
            <xdr14:cNvContentPartPr/>
          </xdr14:nvContentPartPr>
          <xdr14:nvPr macro=""/>
          <xdr14:xfrm>
            <a:off x="10178722" y="11741454"/>
            <a:ext cx="1364400" cy="489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4E7480BC-3CA1-EA12-05BF-C1390088ED37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106722" y="11597454"/>
              <a:ext cx="1508040" cy="336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22T06:50:27.897"/>
    </inkml:context>
    <inkml:brush xml:id="br0">
      <inkml:brushProperty name="width" value="0.4" units="cm"/>
      <inkml:brushProperty name="height" value="0.8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0,'1088'0,"-1064"1,-1 2,30 6,-27-4,42 2,393-5,-222-4,583 2,-809-1,0 0,1-2,-1 1,15-6,-28 8,17-4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2T06:50:33.189"/>
    </inkml:context>
    <inkml:brush xml:id="br0">
      <inkml:brushProperty name="width" value="0.4" units="cm"/>
      <inkml:brushProperty name="height" value="0.8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98 0,'4107'-98'0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2T06:50:36.270"/>
    </inkml:context>
    <inkml:brush xml:id="br0">
      <inkml:brushProperty name="width" value="0.4" units="cm"/>
      <inkml:brushProperty name="height" value="0.8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97 0,'3648'-96'0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22T06:54:12.962"/>
    </inkml:context>
    <inkml:brush xml:id="br0">
      <inkml:brushProperty name="width" value="0.4" units="cm"/>
      <inkml:brushProperty name="height" value="0.8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0 136,'1608'0,"-1582"-2,-1 0,33-8,-30 5,46-4,-12 9,-34 1,0-2,0 0,36-8,9-6,0 4,1 2,102 2,-116 8,89-2,-85-12,-48 9,0 0,21-1,27 3,-37 2,0-1,38-7,0-1,1 3,-1 2,76 7,-30-2,257-1,-345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81F8-862B-4709-81DA-BA9E7EBA17E6}">
  <dimension ref="A1:T51"/>
  <sheetViews>
    <sheetView topLeftCell="A33" zoomScale="57" workbookViewId="0">
      <selection activeCell="K19" sqref="K19"/>
    </sheetView>
  </sheetViews>
  <sheetFormatPr defaultRowHeight="18" x14ac:dyDescent="0.4"/>
  <cols>
    <col min="1" max="1" width="9.78515625" style="8" bestFit="1" customWidth="1"/>
    <col min="2" max="2" width="12.7109375" style="8" bestFit="1" customWidth="1"/>
    <col min="3" max="3" width="15.0703125" style="8" bestFit="1" customWidth="1"/>
    <col min="4" max="4" width="9" style="8" bestFit="1" customWidth="1"/>
    <col min="5" max="5" width="9.78515625" style="8" bestFit="1" customWidth="1"/>
    <col min="6" max="6" width="9.140625" customWidth="1"/>
    <col min="7" max="7" width="0.42578125" customWidth="1"/>
    <col min="11" max="11" width="7.78515625" customWidth="1"/>
  </cols>
  <sheetData>
    <row r="1" spans="1:20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H1" s="7" t="s">
        <v>2</v>
      </c>
      <c r="I1" s="7" t="s">
        <v>3</v>
      </c>
      <c r="J1" s="7" t="s">
        <v>4</v>
      </c>
    </row>
    <row r="2" spans="1:20" x14ac:dyDescent="0.4">
      <c r="A2" s="8">
        <v>165349.20000000001</v>
      </c>
      <c r="B2" s="8">
        <v>136897.79999999999</v>
      </c>
      <c r="C2" s="8">
        <v>471784.1</v>
      </c>
      <c r="D2" s="8" t="s">
        <v>5</v>
      </c>
      <c r="E2" s="8">
        <v>192261.83</v>
      </c>
      <c r="H2" s="8">
        <v>471784.1</v>
      </c>
      <c r="I2" s="8" t="s">
        <v>5</v>
      </c>
      <c r="J2" s="8">
        <v>192261.83</v>
      </c>
    </row>
    <row r="3" spans="1:20" x14ac:dyDescent="0.4">
      <c r="A3" s="8">
        <v>162597.70000000001</v>
      </c>
      <c r="B3" s="8">
        <v>151377.59</v>
      </c>
      <c r="C3" s="8">
        <v>443898.53</v>
      </c>
      <c r="D3" s="8" t="s">
        <v>6</v>
      </c>
      <c r="E3" s="8">
        <v>191792.06</v>
      </c>
      <c r="H3" s="8">
        <v>443898.53</v>
      </c>
      <c r="I3" s="8" t="s">
        <v>6</v>
      </c>
      <c r="J3" s="8">
        <v>191792.06</v>
      </c>
    </row>
    <row r="4" spans="1:20" x14ac:dyDescent="0.4">
      <c r="A4" s="8">
        <v>153441.51</v>
      </c>
      <c r="B4" s="8">
        <v>101145.55</v>
      </c>
      <c r="C4" s="8">
        <v>407934.54</v>
      </c>
      <c r="D4" s="8" t="s">
        <v>7</v>
      </c>
      <c r="E4" s="8">
        <v>191050.39</v>
      </c>
      <c r="H4" s="8">
        <v>407934.54</v>
      </c>
      <c r="I4" s="8" t="s">
        <v>7</v>
      </c>
      <c r="J4" s="8">
        <v>191050.39</v>
      </c>
    </row>
    <row r="5" spans="1:20" x14ac:dyDescent="0.4">
      <c r="A5" s="8">
        <v>144372.41</v>
      </c>
      <c r="B5" s="8">
        <v>118671.85</v>
      </c>
      <c r="C5" s="8">
        <v>383199.62</v>
      </c>
      <c r="D5" s="8" t="s">
        <v>5</v>
      </c>
      <c r="E5" s="8">
        <v>182901.99</v>
      </c>
      <c r="H5" s="8">
        <v>383199.62</v>
      </c>
      <c r="I5" s="8" t="s">
        <v>5</v>
      </c>
      <c r="J5" s="8">
        <v>182901.99</v>
      </c>
    </row>
    <row r="6" spans="1:20" x14ac:dyDescent="0.4">
      <c r="A6" s="8">
        <v>142107.34</v>
      </c>
      <c r="B6" s="8">
        <v>91391.77</v>
      </c>
      <c r="C6" s="8">
        <v>366168.42</v>
      </c>
      <c r="D6" s="8" t="s">
        <v>7</v>
      </c>
      <c r="E6" s="8">
        <v>166187.94</v>
      </c>
      <c r="H6" s="8">
        <v>366168.42</v>
      </c>
      <c r="I6" s="8" t="s">
        <v>7</v>
      </c>
      <c r="J6" s="8">
        <v>166187.94</v>
      </c>
    </row>
    <row r="7" spans="1:20" x14ac:dyDescent="0.4">
      <c r="A7" s="8">
        <v>131876.9</v>
      </c>
      <c r="B7" s="8">
        <v>99814.71</v>
      </c>
      <c r="C7" s="8">
        <v>362861.36</v>
      </c>
      <c r="D7" s="8" t="s">
        <v>5</v>
      </c>
      <c r="E7" s="8">
        <v>156991.12</v>
      </c>
      <c r="H7" s="8">
        <v>362861.36</v>
      </c>
      <c r="I7" s="8" t="s">
        <v>5</v>
      </c>
      <c r="J7" s="8">
        <v>156991.12</v>
      </c>
    </row>
    <row r="8" spans="1:20" x14ac:dyDescent="0.4">
      <c r="A8" s="8">
        <v>134615.46</v>
      </c>
      <c r="B8" s="8">
        <v>147198.87</v>
      </c>
      <c r="C8" s="8">
        <v>127716.82</v>
      </c>
      <c r="D8" s="8" t="s">
        <v>6</v>
      </c>
      <c r="E8" s="8">
        <v>156122.51</v>
      </c>
      <c r="H8" s="8">
        <v>127716.82</v>
      </c>
      <c r="I8" s="8" t="s">
        <v>6</v>
      </c>
      <c r="J8" s="8">
        <v>156122.51</v>
      </c>
    </row>
    <row r="9" spans="1:20" x14ac:dyDescent="0.4">
      <c r="A9" s="8">
        <v>130298.13</v>
      </c>
      <c r="B9" s="8">
        <v>145530.06</v>
      </c>
      <c r="C9" s="8">
        <v>323876.68</v>
      </c>
      <c r="D9" s="8" t="s">
        <v>7</v>
      </c>
      <c r="E9" s="8">
        <v>155752.6</v>
      </c>
      <c r="H9" s="8">
        <v>323876.68</v>
      </c>
      <c r="I9" s="8" t="s">
        <v>7</v>
      </c>
      <c r="J9" s="8">
        <v>155752.6</v>
      </c>
      <c r="R9" s="7" t="s">
        <v>2</v>
      </c>
      <c r="S9" s="7" t="s">
        <v>3</v>
      </c>
      <c r="T9" s="7" t="s">
        <v>4</v>
      </c>
    </row>
    <row r="10" spans="1:20" x14ac:dyDescent="0.4">
      <c r="A10" s="8">
        <v>120542.52</v>
      </c>
      <c r="B10" s="8">
        <v>148718.95000000001</v>
      </c>
      <c r="C10" s="8">
        <v>311613.28999999998</v>
      </c>
      <c r="D10" s="8" t="s">
        <v>5</v>
      </c>
      <c r="E10" s="8">
        <v>152211.76999999999</v>
      </c>
      <c r="H10" s="8">
        <v>311613.28999999998</v>
      </c>
      <c r="I10" s="8" t="s">
        <v>5</v>
      </c>
      <c r="J10" s="8">
        <v>152211.76999999999</v>
      </c>
      <c r="R10" s="8">
        <v>471784.1</v>
      </c>
      <c r="S10" s="8" t="s">
        <v>5</v>
      </c>
      <c r="T10" s="8">
        <v>192261.83</v>
      </c>
    </row>
    <row r="11" spans="1:20" x14ac:dyDescent="0.4">
      <c r="A11" s="8">
        <v>123334.88</v>
      </c>
      <c r="B11" s="8">
        <v>108679.17</v>
      </c>
      <c r="C11" s="8">
        <v>304981.62</v>
      </c>
      <c r="D11" s="8" t="s">
        <v>6</v>
      </c>
      <c r="E11" s="8">
        <v>149759.96</v>
      </c>
      <c r="H11" s="8">
        <v>304981.62</v>
      </c>
      <c r="I11" s="8" t="s">
        <v>6</v>
      </c>
      <c r="J11" s="8">
        <v>149759.96</v>
      </c>
      <c r="R11" s="8">
        <v>443898.53</v>
      </c>
      <c r="S11" s="8" t="s">
        <v>6</v>
      </c>
      <c r="T11" s="8">
        <v>191792.06</v>
      </c>
    </row>
    <row r="12" spans="1:20" x14ac:dyDescent="0.4">
      <c r="A12" s="8">
        <v>101913.08</v>
      </c>
      <c r="B12" s="8">
        <v>110594.11</v>
      </c>
      <c r="C12" s="8">
        <v>229160.95</v>
      </c>
      <c r="D12" s="8" t="s">
        <v>7</v>
      </c>
      <c r="E12" s="8">
        <v>146121.95000000001</v>
      </c>
      <c r="H12" s="8">
        <v>229160.95</v>
      </c>
      <c r="I12" s="8" t="s">
        <v>7</v>
      </c>
      <c r="J12" s="8">
        <v>146121.95000000001</v>
      </c>
      <c r="R12" s="8">
        <v>407934.54</v>
      </c>
      <c r="S12" s="8" t="s">
        <v>7</v>
      </c>
      <c r="T12" s="8">
        <v>191050.39</v>
      </c>
    </row>
    <row r="13" spans="1:20" x14ac:dyDescent="0.4">
      <c r="A13" s="8">
        <v>100671.96</v>
      </c>
      <c r="B13" s="8">
        <v>91790.61</v>
      </c>
      <c r="C13" s="8">
        <v>249744.55</v>
      </c>
      <c r="D13" s="8" t="s">
        <v>6</v>
      </c>
      <c r="E13" s="8">
        <v>144259.4</v>
      </c>
      <c r="H13" s="8">
        <v>249744.55</v>
      </c>
      <c r="I13" s="8" t="s">
        <v>6</v>
      </c>
      <c r="J13" s="8">
        <v>144259.4</v>
      </c>
      <c r="R13" s="8">
        <v>383199.62</v>
      </c>
      <c r="S13" s="8" t="s">
        <v>5</v>
      </c>
      <c r="T13" s="8">
        <v>182901.99</v>
      </c>
    </row>
    <row r="14" spans="1:20" x14ac:dyDescent="0.4">
      <c r="A14" s="8">
        <v>93863.75</v>
      </c>
      <c r="B14" s="8">
        <v>127320.38</v>
      </c>
      <c r="C14" s="8">
        <v>249839.44</v>
      </c>
      <c r="D14" s="8" t="s">
        <v>7</v>
      </c>
      <c r="E14" s="8">
        <v>141585.51999999999</v>
      </c>
      <c r="H14" s="8">
        <v>249839.44</v>
      </c>
      <c r="I14" s="8" t="s">
        <v>7</v>
      </c>
      <c r="J14" s="8">
        <v>141585.51999999999</v>
      </c>
      <c r="R14" s="8">
        <v>366168.42</v>
      </c>
      <c r="S14" s="8" t="s">
        <v>7</v>
      </c>
      <c r="T14" s="8">
        <v>166187.94</v>
      </c>
    </row>
    <row r="15" spans="1:20" x14ac:dyDescent="0.4">
      <c r="A15" s="8">
        <v>91992.39</v>
      </c>
      <c r="B15" s="8">
        <v>135495.07</v>
      </c>
      <c r="C15" s="8">
        <v>252664.93</v>
      </c>
      <c r="D15" s="8" t="s">
        <v>6</v>
      </c>
      <c r="E15" s="8">
        <v>134307.35</v>
      </c>
      <c r="H15" s="8">
        <v>252664.93</v>
      </c>
      <c r="I15" s="8" t="s">
        <v>6</v>
      </c>
      <c r="J15" s="8">
        <v>134307.35</v>
      </c>
      <c r="R15" s="8">
        <v>362861.36</v>
      </c>
      <c r="S15" s="8" t="s">
        <v>5</v>
      </c>
      <c r="T15" s="8">
        <v>156991.12</v>
      </c>
    </row>
    <row r="16" spans="1:20" x14ac:dyDescent="0.4">
      <c r="A16" s="8">
        <v>119943.24</v>
      </c>
      <c r="B16" s="8">
        <v>156547.42000000001</v>
      </c>
      <c r="C16" s="8">
        <v>256512.92</v>
      </c>
      <c r="D16" s="8" t="s">
        <v>7</v>
      </c>
      <c r="E16" s="8">
        <v>132602.65</v>
      </c>
      <c r="R16" s="8">
        <v>127716.82</v>
      </c>
      <c r="S16" s="8" t="s">
        <v>6</v>
      </c>
      <c r="T16" s="8">
        <v>156122.51</v>
      </c>
    </row>
    <row r="17" spans="1:20" x14ac:dyDescent="0.4">
      <c r="A17" s="8">
        <v>114523.61</v>
      </c>
      <c r="B17" s="8">
        <v>122616.84</v>
      </c>
      <c r="C17" s="8">
        <v>261776.23</v>
      </c>
      <c r="D17" s="8" t="s">
        <v>5</v>
      </c>
      <c r="E17" s="8">
        <v>129917.04</v>
      </c>
      <c r="O17" s="7" t="s">
        <v>2</v>
      </c>
      <c r="P17" s="7" t="s">
        <v>3</v>
      </c>
      <c r="Q17" s="7" t="s">
        <v>4</v>
      </c>
      <c r="R17" s="8">
        <v>323876.68</v>
      </c>
      <c r="S17" s="8" t="s">
        <v>7</v>
      </c>
      <c r="T17" s="8">
        <v>155752.6</v>
      </c>
    </row>
    <row r="18" spans="1:20" x14ac:dyDescent="0.4">
      <c r="A18" s="8">
        <v>78013.11</v>
      </c>
      <c r="B18" s="8">
        <v>121597.55</v>
      </c>
      <c r="C18" s="8">
        <v>264346.06</v>
      </c>
      <c r="D18" s="8" t="s">
        <v>6</v>
      </c>
      <c r="E18" s="8">
        <v>126992.93</v>
      </c>
      <c r="O18" s="8">
        <v>471784.1</v>
      </c>
      <c r="P18" s="8" t="s">
        <v>5</v>
      </c>
      <c r="Q18" s="8">
        <v>192261.83</v>
      </c>
      <c r="R18" s="8">
        <v>311613.28999999998</v>
      </c>
      <c r="S18" s="8" t="s">
        <v>5</v>
      </c>
      <c r="T18" s="8">
        <v>152211.76999999999</v>
      </c>
    </row>
    <row r="19" spans="1:20" x14ac:dyDescent="0.4">
      <c r="A19" s="8">
        <v>94657.16</v>
      </c>
      <c r="B19" s="8">
        <v>145077.57999999999</v>
      </c>
      <c r="C19" s="8">
        <v>282574.31</v>
      </c>
      <c r="D19" s="8" t="s">
        <v>5</v>
      </c>
      <c r="E19" s="8">
        <v>125370.37</v>
      </c>
      <c r="O19" s="8">
        <v>443898.53</v>
      </c>
      <c r="P19" s="8" t="s">
        <v>6</v>
      </c>
      <c r="Q19" s="8">
        <v>191792.06</v>
      </c>
      <c r="R19" s="8">
        <v>304981.62</v>
      </c>
      <c r="S19" s="8" t="s">
        <v>6</v>
      </c>
      <c r="T19" s="8">
        <v>149759.96</v>
      </c>
    </row>
    <row r="20" spans="1:20" x14ac:dyDescent="0.4">
      <c r="A20" s="8">
        <v>91749.16</v>
      </c>
      <c r="B20" s="8">
        <v>114175.79</v>
      </c>
      <c r="C20" s="8">
        <v>294919.57</v>
      </c>
      <c r="D20" s="8" t="s">
        <v>7</v>
      </c>
      <c r="E20" s="8">
        <v>124266.9</v>
      </c>
      <c r="O20" s="8">
        <v>407934.54</v>
      </c>
      <c r="P20" s="8" t="s">
        <v>7</v>
      </c>
      <c r="Q20" s="8">
        <v>191050.39</v>
      </c>
      <c r="R20" s="8">
        <v>229160.95</v>
      </c>
      <c r="S20" s="8" t="s">
        <v>7</v>
      </c>
      <c r="T20" s="8">
        <v>146121.95000000001</v>
      </c>
    </row>
    <row r="21" spans="1:20" x14ac:dyDescent="0.4">
      <c r="A21" s="8">
        <v>86419.7</v>
      </c>
      <c r="B21" s="8">
        <v>153514.10999999999</v>
      </c>
      <c r="C21" s="8">
        <v>0</v>
      </c>
      <c r="D21" s="8" t="s">
        <v>5</v>
      </c>
      <c r="E21" s="8">
        <v>122776.86</v>
      </c>
      <c r="O21" s="8">
        <v>383199.62</v>
      </c>
      <c r="P21" s="8" t="s">
        <v>5</v>
      </c>
      <c r="Q21" s="8">
        <v>182901.99</v>
      </c>
      <c r="R21" s="8">
        <v>249744.55</v>
      </c>
      <c r="S21" s="8" t="s">
        <v>6</v>
      </c>
      <c r="T21" s="8">
        <v>144259.4</v>
      </c>
    </row>
    <row r="22" spans="1:20" x14ac:dyDescent="0.4">
      <c r="A22" s="8">
        <v>76253.86</v>
      </c>
      <c r="B22" s="8">
        <v>113867.3</v>
      </c>
      <c r="C22" s="8">
        <v>298664.46999999997</v>
      </c>
      <c r="D22" s="8" t="s">
        <v>6</v>
      </c>
      <c r="E22" s="8">
        <v>118474.03</v>
      </c>
      <c r="O22" s="8">
        <v>366168.42</v>
      </c>
      <c r="P22" s="8" t="s">
        <v>7</v>
      </c>
      <c r="Q22" s="8">
        <v>166187.94</v>
      </c>
      <c r="R22" s="8">
        <v>249839.44</v>
      </c>
      <c r="S22" s="8" t="s">
        <v>7</v>
      </c>
      <c r="T22" s="8">
        <v>141585.51999999999</v>
      </c>
    </row>
    <row r="23" spans="1:20" x14ac:dyDescent="0.4">
      <c r="A23" s="8">
        <v>78389.47</v>
      </c>
      <c r="B23" s="8">
        <v>153773.43</v>
      </c>
      <c r="C23" s="8">
        <v>299737.28999999998</v>
      </c>
      <c r="D23" s="8" t="s">
        <v>5</v>
      </c>
      <c r="E23" s="8">
        <v>111313.02</v>
      </c>
      <c r="O23" s="8">
        <v>362861.36</v>
      </c>
      <c r="P23" s="8" t="s">
        <v>5</v>
      </c>
      <c r="Q23" s="8">
        <v>156991.12</v>
      </c>
      <c r="R23" s="8">
        <v>252664.93</v>
      </c>
      <c r="S23" s="8" t="s">
        <v>6</v>
      </c>
      <c r="T23" s="8">
        <v>134307.35</v>
      </c>
    </row>
    <row r="24" spans="1:20" x14ac:dyDescent="0.4">
      <c r="A24" s="8">
        <v>73994.559999999998</v>
      </c>
      <c r="B24" s="8">
        <v>122782.75</v>
      </c>
      <c r="C24" s="8">
        <v>303319.26</v>
      </c>
      <c r="D24" s="8" t="s">
        <v>7</v>
      </c>
      <c r="E24" s="8">
        <v>110352.25</v>
      </c>
      <c r="O24" s="8">
        <v>127716.82</v>
      </c>
      <c r="P24" s="8" t="s">
        <v>6</v>
      </c>
      <c r="Q24" s="8">
        <v>156122.51</v>
      </c>
    </row>
    <row r="25" spans="1:20" x14ac:dyDescent="0.4">
      <c r="A25" s="8">
        <v>67532.53</v>
      </c>
      <c r="B25" s="8">
        <v>105751.03</v>
      </c>
      <c r="C25" s="8">
        <v>304768.73</v>
      </c>
      <c r="D25" s="8" t="s">
        <v>7</v>
      </c>
      <c r="E25" s="8">
        <v>108733.99</v>
      </c>
      <c r="O25" s="8">
        <v>323876.68</v>
      </c>
      <c r="P25" s="8" t="s">
        <v>7</v>
      </c>
      <c r="Q25" s="8">
        <v>155752.6</v>
      </c>
    </row>
    <row r="26" spans="1:20" x14ac:dyDescent="0.4">
      <c r="A26" s="8">
        <v>77044.009999999995</v>
      </c>
      <c r="B26" s="8">
        <v>99281.34</v>
      </c>
      <c r="C26" s="8">
        <v>140574.81</v>
      </c>
      <c r="D26" s="8" t="s">
        <v>5</v>
      </c>
      <c r="E26" s="8">
        <v>108552.04</v>
      </c>
      <c r="O26" s="8">
        <v>311613.28999999998</v>
      </c>
      <c r="P26" s="8" t="s">
        <v>5</v>
      </c>
      <c r="Q26" s="8">
        <v>152211.76999999999</v>
      </c>
    </row>
    <row r="27" spans="1:20" x14ac:dyDescent="0.4">
      <c r="A27" s="8">
        <v>64664.71</v>
      </c>
      <c r="B27" s="8">
        <v>139553.16</v>
      </c>
      <c r="C27" s="8">
        <v>137962.62</v>
      </c>
      <c r="D27" s="8" t="s">
        <v>6</v>
      </c>
      <c r="E27" s="8">
        <v>107404.34</v>
      </c>
      <c r="O27" s="8">
        <v>304981.62</v>
      </c>
      <c r="P27" s="8" t="s">
        <v>6</v>
      </c>
      <c r="Q27" s="8">
        <v>149759.96</v>
      </c>
    </row>
    <row r="28" spans="1:20" x14ac:dyDescent="0.4">
      <c r="A28" s="8">
        <v>75328.87</v>
      </c>
      <c r="B28" s="8">
        <v>144135.98000000001</v>
      </c>
      <c r="C28" s="8">
        <v>134050.07</v>
      </c>
      <c r="D28" s="8" t="s">
        <v>7</v>
      </c>
      <c r="E28" s="8">
        <v>105733.54</v>
      </c>
      <c r="O28" s="8">
        <v>229160.95</v>
      </c>
      <c r="P28" s="8" t="s">
        <v>7</v>
      </c>
      <c r="Q28" s="8">
        <v>146121.95000000001</v>
      </c>
    </row>
    <row r="29" spans="1:20" x14ac:dyDescent="0.4">
      <c r="A29" s="8">
        <v>72107.600000000006</v>
      </c>
      <c r="B29" s="8">
        <v>127864.55</v>
      </c>
      <c r="C29" s="8">
        <v>353183.81</v>
      </c>
      <c r="D29" s="8" t="s">
        <v>5</v>
      </c>
      <c r="E29" s="8">
        <v>105008.31</v>
      </c>
      <c r="O29" s="8">
        <v>249744.55</v>
      </c>
      <c r="P29" s="8" t="s">
        <v>6</v>
      </c>
      <c r="Q29" s="8">
        <v>144259.4</v>
      </c>
    </row>
    <row r="30" spans="1:20" x14ac:dyDescent="0.4">
      <c r="A30" s="8">
        <v>66051.520000000004</v>
      </c>
      <c r="B30" s="8">
        <v>182645.56</v>
      </c>
      <c r="C30" s="8">
        <v>118148.2</v>
      </c>
      <c r="D30" s="8" t="s">
        <v>7</v>
      </c>
      <c r="E30" s="8">
        <v>103282.38</v>
      </c>
      <c r="O30" s="8">
        <v>249839.44</v>
      </c>
      <c r="P30" s="8" t="s">
        <v>7</v>
      </c>
      <c r="Q30" s="8">
        <v>141585.51999999999</v>
      </c>
    </row>
    <row r="31" spans="1:20" x14ac:dyDescent="0.4">
      <c r="A31" s="8">
        <v>65605.48</v>
      </c>
      <c r="B31" s="8">
        <v>153032.06</v>
      </c>
      <c r="C31" s="8">
        <v>107138.38</v>
      </c>
      <c r="D31" s="8" t="s">
        <v>5</v>
      </c>
      <c r="E31" s="8">
        <v>101004.64</v>
      </c>
      <c r="O31" s="8">
        <v>252664.93</v>
      </c>
      <c r="P31" s="8" t="s">
        <v>6</v>
      </c>
      <c r="Q31" s="8">
        <v>134307.35</v>
      </c>
    </row>
    <row r="32" spans="1:20" x14ac:dyDescent="0.4">
      <c r="A32" s="8">
        <v>61994.48</v>
      </c>
      <c r="B32" s="8">
        <v>115641.28</v>
      </c>
      <c r="C32" s="8">
        <v>91131.24</v>
      </c>
      <c r="D32" s="8" t="s">
        <v>7</v>
      </c>
      <c r="E32" s="8">
        <v>99937.59</v>
      </c>
    </row>
    <row r="33" spans="1:5" x14ac:dyDescent="0.4">
      <c r="A33" s="8">
        <v>61136.38</v>
      </c>
      <c r="B33" s="8">
        <v>152701.92000000001</v>
      </c>
      <c r="C33" s="8">
        <v>88218.23</v>
      </c>
      <c r="D33" s="8" t="s">
        <v>5</v>
      </c>
      <c r="E33" s="8">
        <v>97483.56</v>
      </c>
    </row>
    <row r="34" spans="1:5" x14ac:dyDescent="0.4">
      <c r="A34" s="8">
        <v>63408.86</v>
      </c>
      <c r="B34" s="8">
        <v>129219.61</v>
      </c>
      <c r="C34" s="8">
        <v>46085.25</v>
      </c>
      <c r="D34" s="8" t="s">
        <v>6</v>
      </c>
      <c r="E34" s="8">
        <v>97427.839999999997</v>
      </c>
    </row>
    <row r="35" spans="1:5" x14ac:dyDescent="0.4">
      <c r="A35" s="8">
        <v>55493.95</v>
      </c>
      <c r="B35" s="8">
        <v>103057.49</v>
      </c>
      <c r="C35" s="8">
        <v>214634.81</v>
      </c>
      <c r="D35" s="8" t="s">
        <v>7</v>
      </c>
      <c r="E35" s="8">
        <v>96778.92</v>
      </c>
    </row>
    <row r="36" spans="1:5" x14ac:dyDescent="0.4">
      <c r="A36" s="8">
        <v>46426.07</v>
      </c>
      <c r="B36" s="8">
        <v>157693.92000000001</v>
      </c>
      <c r="C36" s="8">
        <v>210797.67</v>
      </c>
      <c r="D36" s="8" t="s">
        <v>6</v>
      </c>
      <c r="E36" s="8">
        <v>96712.8</v>
      </c>
    </row>
    <row r="37" spans="1:5" x14ac:dyDescent="0.4">
      <c r="A37" s="8">
        <v>46014.02</v>
      </c>
      <c r="B37" s="8">
        <v>85047.44</v>
      </c>
      <c r="C37" s="8">
        <v>205517.64</v>
      </c>
      <c r="D37" s="8" t="s">
        <v>5</v>
      </c>
      <c r="E37" s="8">
        <v>96479.51</v>
      </c>
    </row>
    <row r="38" spans="1:5" x14ac:dyDescent="0.4">
      <c r="A38" s="8">
        <v>28663.759999999998</v>
      </c>
      <c r="B38" s="8">
        <v>127056.21</v>
      </c>
      <c r="C38" s="8">
        <v>201126.82</v>
      </c>
      <c r="D38" s="8" t="s">
        <v>7</v>
      </c>
      <c r="E38" s="8">
        <v>90708.19</v>
      </c>
    </row>
    <row r="39" spans="1:5" x14ac:dyDescent="0.4">
      <c r="A39" s="8">
        <v>44069.95</v>
      </c>
      <c r="B39" s="8">
        <v>51283.14</v>
      </c>
      <c r="C39" s="8">
        <v>197029.42</v>
      </c>
      <c r="D39" s="8" t="s">
        <v>6</v>
      </c>
      <c r="E39" s="8">
        <v>89949.14</v>
      </c>
    </row>
    <row r="40" spans="1:5" x14ac:dyDescent="0.4">
      <c r="A40" s="8">
        <v>20229.59</v>
      </c>
      <c r="B40" s="8">
        <v>65947.929999999993</v>
      </c>
      <c r="C40" s="8">
        <v>185265.1</v>
      </c>
      <c r="D40" s="8" t="s">
        <v>5</v>
      </c>
      <c r="E40" s="8">
        <v>81229.06</v>
      </c>
    </row>
    <row r="41" spans="1:5" x14ac:dyDescent="0.4">
      <c r="A41" s="8">
        <v>38558.51</v>
      </c>
      <c r="B41" s="8">
        <v>82982.09</v>
      </c>
      <c r="C41" s="8">
        <v>174999.3</v>
      </c>
      <c r="D41" s="8" t="s">
        <v>6</v>
      </c>
      <c r="E41" s="8">
        <v>81005.759999999995</v>
      </c>
    </row>
    <row r="42" spans="1:5" x14ac:dyDescent="0.4">
      <c r="A42" s="8">
        <v>28754.33</v>
      </c>
      <c r="B42" s="8">
        <v>118546.05</v>
      </c>
      <c r="C42" s="8">
        <v>172795.67</v>
      </c>
      <c r="D42" s="8" t="s">
        <v>6</v>
      </c>
      <c r="E42" s="8">
        <v>78239.91</v>
      </c>
    </row>
    <row r="43" spans="1:5" x14ac:dyDescent="0.4">
      <c r="A43" s="8">
        <v>27892.92</v>
      </c>
      <c r="B43" s="8">
        <v>84710.77</v>
      </c>
      <c r="C43" s="8">
        <v>164470.71</v>
      </c>
      <c r="D43" s="8" t="s">
        <v>7</v>
      </c>
      <c r="E43" s="8">
        <v>77798.83</v>
      </c>
    </row>
    <row r="44" spans="1:5" x14ac:dyDescent="0.4">
      <c r="A44" s="8">
        <v>23640.93</v>
      </c>
      <c r="B44" s="8">
        <v>96189.63</v>
      </c>
      <c r="C44" s="8">
        <v>148001.10999999999</v>
      </c>
      <c r="D44" s="8" t="s">
        <v>6</v>
      </c>
      <c r="E44" s="8">
        <v>71498.490000000005</v>
      </c>
    </row>
    <row r="45" spans="1:5" x14ac:dyDescent="0.4">
      <c r="A45" s="8">
        <v>15505.73</v>
      </c>
      <c r="B45" s="8">
        <v>127382.3</v>
      </c>
      <c r="C45" s="8">
        <v>35534.17</v>
      </c>
      <c r="D45" s="8" t="s">
        <v>5</v>
      </c>
      <c r="E45" s="8">
        <v>69758.98</v>
      </c>
    </row>
    <row r="46" spans="1:5" x14ac:dyDescent="0.4">
      <c r="A46" s="8">
        <v>22177.74</v>
      </c>
      <c r="B46" s="8">
        <v>154806.14000000001</v>
      </c>
      <c r="C46" s="8">
        <v>28334.720000000001</v>
      </c>
      <c r="D46" s="8" t="s">
        <v>6</v>
      </c>
      <c r="E46" s="8">
        <v>65200.33</v>
      </c>
    </row>
    <row r="47" spans="1:5" x14ac:dyDescent="0.4">
      <c r="A47" s="8">
        <v>1000.23</v>
      </c>
      <c r="B47" s="8">
        <v>124153.04</v>
      </c>
      <c r="C47" s="8">
        <v>1903.93</v>
      </c>
      <c r="D47" s="8" t="s">
        <v>5</v>
      </c>
      <c r="E47" s="8">
        <v>64926.080000000002</v>
      </c>
    </row>
    <row r="48" spans="1:5" x14ac:dyDescent="0.4">
      <c r="A48" s="8">
        <v>1315.46</v>
      </c>
      <c r="B48" s="8">
        <v>115816.21</v>
      </c>
      <c r="C48" s="8">
        <v>297114.46000000002</v>
      </c>
      <c r="D48" s="8" t="s">
        <v>7</v>
      </c>
      <c r="E48" s="8">
        <v>49490.75</v>
      </c>
    </row>
    <row r="49" spans="1:5" x14ac:dyDescent="0.4">
      <c r="A49" s="8">
        <v>0</v>
      </c>
      <c r="B49" s="8">
        <v>135426.92000000001</v>
      </c>
      <c r="C49" s="8">
        <v>0</v>
      </c>
      <c r="D49" s="8" t="s">
        <v>6</v>
      </c>
      <c r="E49" s="8">
        <v>42559.73</v>
      </c>
    </row>
    <row r="50" spans="1:5" x14ac:dyDescent="0.4">
      <c r="A50" s="8">
        <v>542.04999999999995</v>
      </c>
      <c r="B50" s="8">
        <v>51743.15</v>
      </c>
      <c r="C50" s="8">
        <v>0</v>
      </c>
      <c r="D50" s="8" t="s">
        <v>5</v>
      </c>
      <c r="E50" s="8">
        <v>35673.410000000003</v>
      </c>
    </row>
    <row r="51" spans="1:5" x14ac:dyDescent="0.4">
      <c r="A51" s="8">
        <v>0</v>
      </c>
      <c r="B51" s="8">
        <v>116983.8</v>
      </c>
      <c r="C51" s="8">
        <v>45173.06</v>
      </c>
      <c r="D51" s="8" t="s">
        <v>6</v>
      </c>
      <c r="E51" s="8">
        <v>14681.4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8DC2-43F7-41E9-9EFB-1D7A4A7AC3AD}">
  <dimension ref="A1:BE118"/>
  <sheetViews>
    <sheetView topLeftCell="A134" zoomScale="75" zoomScaleNormal="100" workbookViewId="0">
      <selection activeCell="E118" sqref="E118"/>
    </sheetView>
  </sheetViews>
  <sheetFormatPr defaultRowHeight="18" x14ac:dyDescent="0.4"/>
  <cols>
    <col min="6" max="6" width="7.28515625" bestFit="1" customWidth="1"/>
    <col min="8" max="8" width="7.42578125" customWidth="1"/>
    <col min="9" max="9" width="8.92578125" customWidth="1"/>
    <col min="10" max="10" width="11.140625" bestFit="1" customWidth="1"/>
    <col min="11" max="11" width="11.28515625" bestFit="1" customWidth="1"/>
  </cols>
  <sheetData>
    <row r="1" spans="1:19" x14ac:dyDescent="0.4">
      <c r="A1" s="5" t="s">
        <v>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4">
      <c r="A2" s="5" t="s">
        <v>11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x14ac:dyDescent="0.4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52.5" x14ac:dyDescent="0.4">
      <c r="A4" s="3" t="s">
        <v>8</v>
      </c>
      <c r="B4" s="3" t="s">
        <v>1</v>
      </c>
      <c r="C4" s="3" t="s">
        <v>9</v>
      </c>
      <c r="D4" s="3" t="s">
        <v>4</v>
      </c>
      <c r="E4" s="2"/>
      <c r="F4" s="3" t="s">
        <v>18</v>
      </c>
      <c r="G4" s="9">
        <f>AVERAGE(E13:E62)</f>
        <v>112012.63920000002</v>
      </c>
      <c r="H4" s="2"/>
      <c r="I4" s="3" t="s">
        <v>19</v>
      </c>
      <c r="J4" s="9">
        <f>STDEV(E13:E62)</f>
        <v>40306.180337650425</v>
      </c>
      <c r="K4" s="2"/>
      <c r="L4" s="2"/>
      <c r="M4" s="2"/>
      <c r="N4" s="2"/>
      <c r="O4" s="2"/>
      <c r="P4" s="2"/>
      <c r="Q4" s="2"/>
      <c r="R4" s="2"/>
      <c r="S4" s="2"/>
    </row>
    <row r="5" spans="1:19" x14ac:dyDescent="0.4">
      <c r="A5" s="4">
        <v>21892.92</v>
      </c>
      <c r="B5" s="4">
        <v>81910.77</v>
      </c>
      <c r="C5" s="4">
        <v>164270.70000000001</v>
      </c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4">
      <c r="A6" s="4">
        <v>23940.93</v>
      </c>
      <c r="B6" s="4">
        <v>96489.63</v>
      </c>
      <c r="C6" s="4">
        <v>137001.1</v>
      </c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4">
      <c r="O8" s="2"/>
    </row>
    <row r="9" spans="1:19" x14ac:dyDescent="0.4">
      <c r="O9" s="2"/>
    </row>
    <row r="10" spans="1:19" x14ac:dyDescent="0.4">
      <c r="O10" s="2"/>
      <c r="P10" s="2"/>
      <c r="Q10" s="2"/>
      <c r="R10" s="2"/>
    </row>
    <row r="11" spans="1:19" x14ac:dyDescent="0.4">
      <c r="O11" s="2"/>
      <c r="P11" s="2"/>
      <c r="Q11" s="2"/>
      <c r="R11" s="2"/>
    </row>
    <row r="12" spans="1:19" x14ac:dyDescent="0.4">
      <c r="A12" s="7" t="s">
        <v>0</v>
      </c>
      <c r="B12" s="7" t="s">
        <v>1</v>
      </c>
      <c r="C12" s="7" t="s">
        <v>2</v>
      </c>
      <c r="D12" s="7" t="s">
        <v>3</v>
      </c>
      <c r="E12" s="7" t="s">
        <v>4</v>
      </c>
      <c r="F12" s="7" t="s">
        <v>12</v>
      </c>
      <c r="G12" s="7" t="s">
        <v>13</v>
      </c>
      <c r="H12" s="7" t="s">
        <v>14</v>
      </c>
      <c r="I12" s="7" t="s">
        <v>15</v>
      </c>
      <c r="J12" s="7" t="s">
        <v>16</v>
      </c>
      <c r="K12" s="7" t="s">
        <v>17</v>
      </c>
      <c r="O12" s="2"/>
      <c r="P12" s="2"/>
      <c r="Q12" s="2"/>
      <c r="R12" s="2"/>
    </row>
    <row r="13" spans="1:19" x14ac:dyDescent="0.4">
      <c r="A13" s="8">
        <v>165349.20000000001</v>
      </c>
      <c r="B13" s="8">
        <v>136897.79999999999</v>
      </c>
      <c r="C13" s="8">
        <v>471784.1</v>
      </c>
      <c r="D13" s="8" t="s">
        <v>5</v>
      </c>
      <c r="E13" s="8">
        <v>192261.83</v>
      </c>
      <c r="F13" t="b">
        <f>OR(Outliers!E13&gt;Outliers!$J$13,Outliers!E13&lt;Outliers!$K$13)</f>
        <v>0</v>
      </c>
      <c r="G13">
        <f>QUARTILE(E13:E62,1)</f>
        <v>90138.902499999997</v>
      </c>
      <c r="H13">
        <f>QUARTILE(E13:E62,3)</f>
        <v>139765.97749999998</v>
      </c>
      <c r="I13">
        <f>H13-G13</f>
        <v>49627.074999999983</v>
      </c>
      <c r="J13">
        <f>H13+(1.5*I13)</f>
        <v>214206.58999999997</v>
      </c>
      <c r="K13">
        <f>G13-(1.5*I13)</f>
        <v>15698.290000000023</v>
      </c>
      <c r="O13" s="2"/>
    </row>
    <row r="14" spans="1:19" x14ac:dyDescent="0.4">
      <c r="A14" s="8">
        <v>162597.70000000001</v>
      </c>
      <c r="B14" s="8">
        <v>151377.59</v>
      </c>
      <c r="C14" s="8">
        <v>443898.53</v>
      </c>
      <c r="D14" s="8" t="s">
        <v>6</v>
      </c>
      <c r="E14" s="8">
        <v>191792.06</v>
      </c>
      <c r="F14" t="b">
        <f>OR(Outliers!E14&gt;Outliers!$J$13,Outliers!E14&lt;Outliers!$K$13)</f>
        <v>0</v>
      </c>
      <c r="O14" s="2"/>
    </row>
    <row r="15" spans="1:19" x14ac:dyDescent="0.4">
      <c r="A15" s="8">
        <v>153441.51</v>
      </c>
      <c r="B15" s="8">
        <v>101145.55</v>
      </c>
      <c r="C15" s="8">
        <v>407934.54</v>
      </c>
      <c r="D15" s="8" t="s">
        <v>7</v>
      </c>
      <c r="E15" s="8">
        <v>191050.39</v>
      </c>
      <c r="F15" t="b">
        <f>OR(Outliers!E15&gt;Outliers!$J$13,Outliers!E15&lt;Outliers!$K$13)</f>
        <v>0</v>
      </c>
      <c r="O15" s="2"/>
      <c r="P15" s="2"/>
      <c r="Q15" s="2"/>
      <c r="R15" s="2"/>
    </row>
    <row r="16" spans="1:19" x14ac:dyDescent="0.4">
      <c r="A16" s="8">
        <v>144372.41</v>
      </c>
      <c r="B16" s="8">
        <v>118671.85</v>
      </c>
      <c r="C16" s="8">
        <v>383199.62</v>
      </c>
      <c r="D16" s="8" t="s">
        <v>5</v>
      </c>
      <c r="E16" s="8">
        <v>182901.99</v>
      </c>
      <c r="F16" t="b">
        <f>OR(Outliers!E16&gt;Outliers!$J$13,Outliers!E16&lt;Outliers!$K$13)</f>
        <v>0</v>
      </c>
      <c r="O16" s="2"/>
      <c r="P16" s="2"/>
      <c r="Q16" s="2"/>
      <c r="R16" s="2"/>
    </row>
    <row r="17" spans="1:18" x14ac:dyDescent="0.4">
      <c r="A17" s="8">
        <v>142107.34</v>
      </c>
      <c r="B17" s="8">
        <v>91391.77</v>
      </c>
      <c r="C17" s="8">
        <v>366168.42</v>
      </c>
      <c r="D17" s="8" t="s">
        <v>7</v>
      </c>
      <c r="E17" s="8">
        <v>166187.94</v>
      </c>
      <c r="F17" t="b">
        <f>OR(Outliers!E17&gt;Outliers!$J$13,Outliers!E17&lt;Outliers!$K$13)</f>
        <v>0</v>
      </c>
      <c r="O17" s="2"/>
      <c r="P17" s="2"/>
      <c r="Q17" s="2"/>
      <c r="R17" s="2"/>
    </row>
    <row r="18" spans="1:18" x14ac:dyDescent="0.4">
      <c r="A18" s="8">
        <v>131876.9</v>
      </c>
      <c r="B18" s="8">
        <v>99814.71</v>
      </c>
      <c r="C18" s="8">
        <v>362861.36</v>
      </c>
      <c r="D18" s="8" t="s">
        <v>5</v>
      </c>
      <c r="E18" s="8">
        <v>156991.12</v>
      </c>
      <c r="F18" t="b">
        <f>OR(Outliers!E18&gt;Outliers!$J$13,Outliers!E18&lt;Outliers!$K$13)</f>
        <v>0</v>
      </c>
      <c r="O18" s="2"/>
    </row>
    <row r="19" spans="1:18" x14ac:dyDescent="0.4">
      <c r="A19" s="8">
        <v>134615.46</v>
      </c>
      <c r="B19" s="8">
        <v>147198.87</v>
      </c>
      <c r="C19" s="8">
        <v>127716.82</v>
      </c>
      <c r="D19" s="8" t="s">
        <v>6</v>
      </c>
      <c r="E19" s="8">
        <v>156122.51</v>
      </c>
      <c r="F19" t="b">
        <f>OR(Outliers!E19&gt;Outliers!$J$13,Outliers!E19&lt;Outliers!$K$13)</f>
        <v>0</v>
      </c>
      <c r="O19" s="2"/>
    </row>
    <row r="20" spans="1:18" x14ac:dyDescent="0.4">
      <c r="A20" s="8">
        <v>130298.13</v>
      </c>
      <c r="B20" s="8">
        <v>145530.06</v>
      </c>
      <c r="C20" s="8">
        <v>323876.68</v>
      </c>
      <c r="D20" s="8" t="s">
        <v>7</v>
      </c>
      <c r="E20" s="8">
        <v>155752.6</v>
      </c>
      <c r="F20" t="b">
        <f>OR(Outliers!E20&gt;Outliers!$J$13,Outliers!E20&lt;Outliers!$K$13)</f>
        <v>0</v>
      </c>
      <c r="O20" s="2"/>
    </row>
    <row r="21" spans="1:18" x14ac:dyDescent="0.4">
      <c r="A21" s="8">
        <v>120542.52</v>
      </c>
      <c r="B21" s="8">
        <v>148718.95000000001</v>
      </c>
      <c r="C21" s="8">
        <v>311613.28999999998</v>
      </c>
      <c r="D21" s="8" t="s">
        <v>5</v>
      </c>
      <c r="E21" s="8">
        <v>152211.76999999999</v>
      </c>
      <c r="F21" t="b">
        <f>OR(Outliers!E21&gt;Outliers!$J$13,Outliers!E21&lt;Outliers!$K$13)</f>
        <v>0</v>
      </c>
      <c r="O21" s="2"/>
    </row>
    <row r="22" spans="1:18" x14ac:dyDescent="0.4">
      <c r="A22" s="8">
        <v>123334.88</v>
      </c>
      <c r="B22" s="8">
        <v>108679.17</v>
      </c>
      <c r="C22" s="8">
        <v>304981.62</v>
      </c>
      <c r="D22" s="8" t="s">
        <v>6</v>
      </c>
      <c r="E22" s="8">
        <v>149759.96</v>
      </c>
      <c r="F22" t="b">
        <f>OR(Outliers!E22&gt;Outliers!$J$13,Outliers!E22&lt;Outliers!$K$13)</f>
        <v>0</v>
      </c>
      <c r="O22" s="2"/>
    </row>
    <row r="23" spans="1:18" x14ac:dyDescent="0.4">
      <c r="A23" s="8">
        <v>101913.08</v>
      </c>
      <c r="B23" s="8">
        <v>110594.11</v>
      </c>
      <c r="C23" s="8">
        <v>229160.95</v>
      </c>
      <c r="D23" s="8" t="s">
        <v>7</v>
      </c>
      <c r="E23" s="8">
        <v>146121.95000000001</v>
      </c>
      <c r="F23" t="b">
        <f>OR(Outliers!E23&gt;Outliers!$J$13,Outliers!E23&lt;Outliers!$K$13)</f>
        <v>0</v>
      </c>
      <c r="O23" s="2"/>
    </row>
    <row r="24" spans="1:18" x14ac:dyDescent="0.4">
      <c r="A24" s="8">
        <v>100671.96</v>
      </c>
      <c r="B24" s="8">
        <v>91790.61</v>
      </c>
      <c r="C24" s="8">
        <v>249744.55</v>
      </c>
      <c r="D24" s="8" t="s">
        <v>6</v>
      </c>
      <c r="E24" s="8">
        <v>144259.4</v>
      </c>
      <c r="F24" t="b">
        <f>OR(Outliers!E24&gt;Outliers!$J$13,Outliers!E24&lt;Outliers!$K$13)</f>
        <v>0</v>
      </c>
      <c r="O24" s="2"/>
    </row>
    <row r="25" spans="1:18" x14ac:dyDescent="0.4">
      <c r="A25" s="8">
        <v>93863.75</v>
      </c>
      <c r="B25" s="8">
        <v>127320.38</v>
      </c>
      <c r="C25" s="8">
        <v>249839.44</v>
      </c>
      <c r="D25" s="8" t="s">
        <v>7</v>
      </c>
      <c r="E25" s="8">
        <v>141585.51999999999</v>
      </c>
      <c r="F25" t="b">
        <f>OR(Outliers!E25&gt;Outliers!$J$13,Outliers!E25&lt;Outliers!$K$13)</f>
        <v>0</v>
      </c>
      <c r="O25" s="2"/>
    </row>
    <row r="26" spans="1:18" x14ac:dyDescent="0.4">
      <c r="A26" s="8">
        <v>91992.39</v>
      </c>
      <c r="B26" s="8">
        <v>135495.07</v>
      </c>
      <c r="C26" s="8">
        <v>252664.93</v>
      </c>
      <c r="D26" s="8" t="s">
        <v>6</v>
      </c>
      <c r="E26" s="8">
        <v>134307.35</v>
      </c>
      <c r="F26" t="b">
        <f>OR(Outliers!E26&gt;Outliers!$J$13,Outliers!E26&lt;Outliers!$K$13)</f>
        <v>0</v>
      </c>
    </row>
    <row r="27" spans="1:18" x14ac:dyDescent="0.4">
      <c r="A27" s="8">
        <v>119943.24</v>
      </c>
      <c r="B27" s="8">
        <v>156547.42000000001</v>
      </c>
      <c r="C27" s="8">
        <v>256512.92</v>
      </c>
      <c r="D27" s="8" t="s">
        <v>7</v>
      </c>
      <c r="E27" s="8">
        <v>132602.65</v>
      </c>
      <c r="F27" t="b">
        <f>OR(Outliers!E27&gt;Outliers!$J$13,Outliers!E27&lt;Outliers!$K$13)</f>
        <v>0</v>
      </c>
    </row>
    <row r="28" spans="1:18" x14ac:dyDescent="0.4">
      <c r="A28" s="8">
        <v>114523.61</v>
      </c>
      <c r="B28" s="8">
        <v>122616.84</v>
      </c>
      <c r="C28" s="8">
        <v>261776.23</v>
      </c>
      <c r="D28" s="8" t="s">
        <v>5</v>
      </c>
      <c r="E28" s="8">
        <v>129917.04</v>
      </c>
      <c r="F28" t="b">
        <f>OR(Outliers!E28&gt;Outliers!$J$13,Outliers!E28&lt;Outliers!$K$13)</f>
        <v>0</v>
      </c>
    </row>
    <row r="29" spans="1:18" x14ac:dyDescent="0.4">
      <c r="A29" s="8">
        <v>78013.11</v>
      </c>
      <c r="B29" s="8">
        <v>121597.55</v>
      </c>
      <c r="C29" s="8">
        <v>264346.06</v>
      </c>
      <c r="D29" s="8" t="s">
        <v>6</v>
      </c>
      <c r="E29" s="8">
        <v>126992.93</v>
      </c>
      <c r="F29" t="b">
        <f>OR(Outliers!E29&gt;Outliers!$J$13,Outliers!E29&lt;Outliers!$K$13)</f>
        <v>0</v>
      </c>
    </row>
    <row r="30" spans="1:18" x14ac:dyDescent="0.4">
      <c r="A30" s="8">
        <v>94657.16</v>
      </c>
      <c r="B30" s="8">
        <v>145077.57999999999</v>
      </c>
      <c r="C30" s="8">
        <v>282574.31</v>
      </c>
      <c r="D30" s="8" t="s">
        <v>5</v>
      </c>
      <c r="E30" s="8">
        <v>125370.37</v>
      </c>
      <c r="F30" t="b">
        <f>OR(Outliers!E30&gt;Outliers!$J$13,Outliers!E30&lt;Outliers!$K$13)</f>
        <v>0</v>
      </c>
    </row>
    <row r="31" spans="1:18" x14ac:dyDescent="0.4">
      <c r="A31" s="8">
        <v>91749.16</v>
      </c>
      <c r="B31" s="8">
        <v>114175.79</v>
      </c>
      <c r="C31" s="8">
        <v>294919.57</v>
      </c>
      <c r="D31" s="8" t="s">
        <v>7</v>
      </c>
      <c r="E31" s="8">
        <v>124266.9</v>
      </c>
      <c r="F31" t="b">
        <f>OR(Outliers!E31&gt;Outliers!$J$13,Outliers!E31&lt;Outliers!$K$13)</f>
        <v>0</v>
      </c>
    </row>
    <row r="32" spans="1:18" x14ac:dyDescent="0.4">
      <c r="A32" s="8">
        <v>86419.7</v>
      </c>
      <c r="B32" s="8">
        <v>153514.10999999999</v>
      </c>
      <c r="C32" s="8">
        <v>0</v>
      </c>
      <c r="D32" s="8" t="s">
        <v>5</v>
      </c>
      <c r="E32" s="8">
        <v>122776.86</v>
      </c>
      <c r="F32" t="b">
        <f>OR(Outliers!E32&gt;Outliers!$J$13,Outliers!E32&lt;Outliers!$K$13)</f>
        <v>0</v>
      </c>
    </row>
    <row r="33" spans="1:6" x14ac:dyDescent="0.4">
      <c r="A33" s="8">
        <v>76253.86</v>
      </c>
      <c r="B33" s="8">
        <v>113867.3</v>
      </c>
      <c r="C33" s="8">
        <v>298664.46999999997</v>
      </c>
      <c r="D33" s="8" t="s">
        <v>6</v>
      </c>
      <c r="E33" s="8">
        <v>118474.03</v>
      </c>
      <c r="F33" t="b">
        <f>OR(Outliers!E33&gt;Outliers!$J$13,Outliers!E33&lt;Outliers!$K$13)</f>
        <v>0</v>
      </c>
    </row>
    <row r="34" spans="1:6" x14ac:dyDescent="0.4">
      <c r="A34" s="8">
        <v>78389.47</v>
      </c>
      <c r="B34" s="8">
        <v>153773.43</v>
      </c>
      <c r="C34" s="8">
        <v>299737.28999999998</v>
      </c>
      <c r="D34" s="8" t="s">
        <v>5</v>
      </c>
      <c r="E34" s="8">
        <v>111313.02</v>
      </c>
      <c r="F34" t="b">
        <f>OR(Outliers!E34&gt;Outliers!$J$13,Outliers!E34&lt;Outliers!$K$13)</f>
        <v>0</v>
      </c>
    </row>
    <row r="35" spans="1:6" x14ac:dyDescent="0.4">
      <c r="A35" s="8">
        <v>73994.559999999998</v>
      </c>
      <c r="B35" s="8">
        <v>122782.75</v>
      </c>
      <c r="C35" s="8">
        <v>303319.26</v>
      </c>
      <c r="D35" s="8" t="s">
        <v>7</v>
      </c>
      <c r="E35" s="8">
        <v>110352.25</v>
      </c>
      <c r="F35" t="b">
        <f>OR(Outliers!E35&gt;Outliers!$J$13,Outliers!E35&lt;Outliers!$K$13)</f>
        <v>0</v>
      </c>
    </row>
    <row r="36" spans="1:6" x14ac:dyDescent="0.4">
      <c r="A36" s="8">
        <v>67532.53</v>
      </c>
      <c r="B36" s="8">
        <v>105751.03</v>
      </c>
      <c r="C36" s="8">
        <v>304768.73</v>
      </c>
      <c r="D36" s="8" t="s">
        <v>7</v>
      </c>
      <c r="E36" s="8">
        <v>108733.99</v>
      </c>
      <c r="F36" t="b">
        <f>OR(Outliers!E36&gt;Outliers!$J$13,Outliers!E36&lt;Outliers!$K$13)</f>
        <v>0</v>
      </c>
    </row>
    <row r="37" spans="1:6" x14ac:dyDescent="0.4">
      <c r="A37" s="8">
        <v>77044.009999999995</v>
      </c>
      <c r="B37" s="8">
        <v>99281.34</v>
      </c>
      <c r="C37" s="8">
        <v>140574.81</v>
      </c>
      <c r="D37" s="8" t="s">
        <v>5</v>
      </c>
      <c r="E37" s="8">
        <v>108552.04</v>
      </c>
      <c r="F37" t="b">
        <f>OR(Outliers!E37&gt;Outliers!$J$13,Outliers!E37&lt;Outliers!$K$13)</f>
        <v>0</v>
      </c>
    </row>
    <row r="38" spans="1:6" x14ac:dyDescent="0.4">
      <c r="A38" s="8">
        <v>64664.71</v>
      </c>
      <c r="B38" s="8">
        <v>139553.16</v>
      </c>
      <c r="C38" s="8">
        <v>137962.62</v>
      </c>
      <c r="D38" s="8" t="s">
        <v>6</v>
      </c>
      <c r="E38" s="8">
        <v>107404.34</v>
      </c>
      <c r="F38" t="b">
        <f>OR(Outliers!E38&gt;Outliers!$J$13,Outliers!E38&lt;Outliers!$K$13)</f>
        <v>0</v>
      </c>
    </row>
    <row r="39" spans="1:6" x14ac:dyDescent="0.4">
      <c r="A39" s="8">
        <v>75328.87</v>
      </c>
      <c r="B39" s="8">
        <v>144135.98000000001</v>
      </c>
      <c r="C39" s="8">
        <v>134050.07</v>
      </c>
      <c r="D39" s="8" t="s">
        <v>7</v>
      </c>
      <c r="E39" s="8">
        <v>105733.54</v>
      </c>
      <c r="F39" t="b">
        <f>OR(Outliers!E39&gt;Outliers!$J$13,Outliers!E39&lt;Outliers!$K$13)</f>
        <v>0</v>
      </c>
    </row>
    <row r="40" spans="1:6" x14ac:dyDescent="0.4">
      <c r="A40" s="8">
        <v>72107.600000000006</v>
      </c>
      <c r="B40" s="8">
        <v>127864.55</v>
      </c>
      <c r="C40" s="8">
        <v>353183.81</v>
      </c>
      <c r="D40" s="8" t="s">
        <v>5</v>
      </c>
      <c r="E40" s="8">
        <v>105008.31</v>
      </c>
      <c r="F40" t="b">
        <f>OR(Outliers!E40&gt;Outliers!$J$13,Outliers!E40&lt;Outliers!$K$13)</f>
        <v>0</v>
      </c>
    </row>
    <row r="41" spans="1:6" x14ac:dyDescent="0.4">
      <c r="A41" s="8">
        <v>66051.520000000004</v>
      </c>
      <c r="B41" s="8">
        <v>182645.56</v>
      </c>
      <c r="C41" s="8">
        <v>118148.2</v>
      </c>
      <c r="D41" s="8" t="s">
        <v>7</v>
      </c>
      <c r="E41" s="8">
        <v>103282.38</v>
      </c>
      <c r="F41" t="b">
        <f>OR(Outliers!E41&gt;Outliers!$J$13,Outliers!E41&lt;Outliers!$K$13)</f>
        <v>0</v>
      </c>
    </row>
    <row r="42" spans="1:6" x14ac:dyDescent="0.4">
      <c r="A42" s="8">
        <v>65605.48</v>
      </c>
      <c r="B42" s="8">
        <v>153032.06</v>
      </c>
      <c r="C42" s="8">
        <v>107138.38</v>
      </c>
      <c r="D42" s="8" t="s">
        <v>5</v>
      </c>
      <c r="E42" s="8">
        <v>101004.64</v>
      </c>
      <c r="F42" t="b">
        <f>OR(Outliers!E42&gt;Outliers!$J$13,Outliers!E42&lt;Outliers!$K$13)</f>
        <v>0</v>
      </c>
    </row>
    <row r="43" spans="1:6" x14ac:dyDescent="0.4">
      <c r="A43" s="8">
        <v>61994.48</v>
      </c>
      <c r="B43" s="8">
        <v>115641.28</v>
      </c>
      <c r="C43" s="8">
        <v>91131.24</v>
      </c>
      <c r="D43" s="8" t="s">
        <v>7</v>
      </c>
      <c r="E43" s="8">
        <v>99937.59</v>
      </c>
      <c r="F43" t="b">
        <f>OR(Outliers!E43&gt;Outliers!$J$13,Outliers!E43&lt;Outliers!$K$13)</f>
        <v>0</v>
      </c>
    </row>
    <row r="44" spans="1:6" x14ac:dyDescent="0.4">
      <c r="A44" s="8">
        <v>61136.38</v>
      </c>
      <c r="B44" s="8">
        <v>152701.92000000001</v>
      </c>
      <c r="C44" s="8">
        <v>88218.23</v>
      </c>
      <c r="D44" s="8" t="s">
        <v>5</v>
      </c>
      <c r="E44" s="8">
        <v>97483.56</v>
      </c>
      <c r="F44" t="b">
        <f>OR(Outliers!E44&gt;Outliers!$J$13,Outliers!E44&lt;Outliers!$K$13)</f>
        <v>0</v>
      </c>
    </row>
    <row r="45" spans="1:6" x14ac:dyDescent="0.4">
      <c r="A45" s="8">
        <v>63408.86</v>
      </c>
      <c r="B45" s="8">
        <v>129219.61</v>
      </c>
      <c r="C45" s="8">
        <v>46085.25</v>
      </c>
      <c r="D45" s="8" t="s">
        <v>6</v>
      </c>
      <c r="E45" s="8">
        <v>97427.839999999997</v>
      </c>
      <c r="F45" t="b">
        <f>OR(Outliers!E45&gt;Outliers!$J$13,Outliers!E45&lt;Outliers!$K$13)</f>
        <v>0</v>
      </c>
    </row>
    <row r="46" spans="1:6" x14ac:dyDescent="0.4">
      <c r="A46" s="8">
        <v>55493.95</v>
      </c>
      <c r="B46" s="8">
        <v>103057.49</v>
      </c>
      <c r="C46" s="8">
        <v>214634.81</v>
      </c>
      <c r="D46" s="8" t="s">
        <v>7</v>
      </c>
      <c r="E46" s="8">
        <v>96778.92</v>
      </c>
      <c r="F46" t="b">
        <f>OR(Outliers!E46&gt;Outliers!$J$13,Outliers!E46&lt;Outliers!$K$13)</f>
        <v>0</v>
      </c>
    </row>
    <row r="47" spans="1:6" x14ac:dyDescent="0.4">
      <c r="A47" s="8">
        <v>46426.07</v>
      </c>
      <c r="B47" s="8">
        <v>157693.92000000001</v>
      </c>
      <c r="C47" s="8">
        <v>210797.67</v>
      </c>
      <c r="D47" s="8" t="s">
        <v>6</v>
      </c>
      <c r="E47" s="8">
        <v>96712.8</v>
      </c>
      <c r="F47" t="b">
        <f>OR(Outliers!E47&gt;Outliers!$J$13,Outliers!E47&lt;Outliers!$K$13)</f>
        <v>0</v>
      </c>
    </row>
    <row r="48" spans="1:6" x14ac:dyDescent="0.4">
      <c r="A48" s="8">
        <v>46014.02</v>
      </c>
      <c r="B48" s="8">
        <v>85047.44</v>
      </c>
      <c r="C48" s="8">
        <v>205517.64</v>
      </c>
      <c r="D48" s="8" t="s">
        <v>5</v>
      </c>
      <c r="E48" s="8">
        <v>96479.51</v>
      </c>
      <c r="F48" t="b">
        <f>OR(Outliers!E48&gt;Outliers!$J$13,Outliers!E48&lt;Outliers!$K$13)</f>
        <v>0</v>
      </c>
    </row>
    <row r="49" spans="1:9" x14ac:dyDescent="0.4">
      <c r="A49" s="8">
        <v>28663.759999999998</v>
      </c>
      <c r="B49" s="8">
        <v>127056.21</v>
      </c>
      <c r="C49" s="8">
        <v>201126.82</v>
      </c>
      <c r="D49" s="8" t="s">
        <v>7</v>
      </c>
      <c r="E49" s="8">
        <v>90708.19</v>
      </c>
      <c r="F49" t="b">
        <f>OR(Outliers!E49&gt;Outliers!$J$13,Outliers!E49&lt;Outliers!$K$13)</f>
        <v>0</v>
      </c>
    </row>
    <row r="50" spans="1:9" x14ac:dyDescent="0.4">
      <c r="A50" s="8">
        <v>44069.95</v>
      </c>
      <c r="B50" s="8">
        <v>51283.14</v>
      </c>
      <c r="C50" s="8">
        <v>197029.42</v>
      </c>
      <c r="D50" s="8" t="s">
        <v>6</v>
      </c>
      <c r="E50" s="8">
        <v>89949.14</v>
      </c>
      <c r="F50" t="b">
        <f>OR(Outliers!E50&gt;Outliers!$J$13,Outliers!E50&lt;Outliers!$K$13)</f>
        <v>0</v>
      </c>
    </row>
    <row r="51" spans="1:9" x14ac:dyDescent="0.4">
      <c r="A51" s="8">
        <v>20229.59</v>
      </c>
      <c r="B51" s="8">
        <v>65947.929999999993</v>
      </c>
      <c r="C51" s="8">
        <v>185265.1</v>
      </c>
      <c r="D51" s="8" t="s">
        <v>5</v>
      </c>
      <c r="E51" s="8">
        <v>81229.06</v>
      </c>
      <c r="F51" t="b">
        <f>OR(Outliers!E51&gt;Outliers!$J$13,Outliers!E51&lt;Outliers!$K$13)</f>
        <v>0</v>
      </c>
    </row>
    <row r="52" spans="1:9" x14ac:dyDescent="0.4">
      <c r="A52" s="8">
        <v>38558.51</v>
      </c>
      <c r="B52" s="8">
        <v>82982.09</v>
      </c>
      <c r="C52" s="8">
        <v>174999.3</v>
      </c>
      <c r="D52" s="8" t="s">
        <v>6</v>
      </c>
      <c r="E52" s="8">
        <v>81005.759999999995</v>
      </c>
      <c r="F52" t="b">
        <f>OR(Outliers!E52&gt;Outliers!$J$13,Outliers!E52&lt;Outliers!$K$13)</f>
        <v>0</v>
      </c>
    </row>
    <row r="53" spans="1:9" x14ac:dyDescent="0.4">
      <c r="A53" s="8">
        <v>28754.33</v>
      </c>
      <c r="B53" s="8">
        <v>118546.05</v>
      </c>
      <c r="C53" s="8">
        <v>172795.67</v>
      </c>
      <c r="D53" s="8" t="s">
        <v>6</v>
      </c>
      <c r="E53" s="8">
        <v>78239.91</v>
      </c>
      <c r="F53" t="b">
        <f>OR(Outliers!E53&gt;Outliers!$J$13,Outliers!E53&lt;Outliers!$K$13)</f>
        <v>0</v>
      </c>
    </row>
    <row r="54" spans="1:9" x14ac:dyDescent="0.4">
      <c r="A54" s="8">
        <v>27892.92</v>
      </c>
      <c r="B54" s="8">
        <v>84710.77</v>
      </c>
      <c r="C54" s="8">
        <v>164470.71</v>
      </c>
      <c r="D54" s="8" t="s">
        <v>7</v>
      </c>
      <c r="E54" s="8">
        <v>77798.83</v>
      </c>
      <c r="F54" t="b">
        <f>OR(Outliers!E54&gt;Outliers!$J$13,Outliers!E54&lt;Outliers!$K$13)</f>
        <v>0</v>
      </c>
    </row>
    <row r="55" spans="1:9" x14ac:dyDescent="0.4">
      <c r="A55" s="8">
        <v>23640.93</v>
      </c>
      <c r="B55" s="8">
        <v>96189.63</v>
      </c>
      <c r="C55" s="8">
        <v>148001.10999999999</v>
      </c>
      <c r="D55" s="8" t="s">
        <v>6</v>
      </c>
      <c r="E55" s="8">
        <v>71498.490000000005</v>
      </c>
      <c r="F55" t="b">
        <f>OR(Outliers!E55&gt;Outliers!$J$13,Outliers!E55&lt;Outliers!$K$13)</f>
        <v>0</v>
      </c>
    </row>
    <row r="56" spans="1:9" x14ac:dyDescent="0.4">
      <c r="A56" s="8">
        <v>15505.73</v>
      </c>
      <c r="B56" s="8">
        <v>127382.3</v>
      </c>
      <c r="C56" s="8">
        <v>35534.17</v>
      </c>
      <c r="D56" s="8" t="s">
        <v>5</v>
      </c>
      <c r="E56" s="8">
        <v>69758.98</v>
      </c>
      <c r="F56" t="b">
        <f>OR(Outliers!E56&gt;Outliers!$J$13,Outliers!E56&lt;Outliers!$K$13)</f>
        <v>0</v>
      </c>
    </row>
    <row r="57" spans="1:9" x14ac:dyDescent="0.4">
      <c r="A57" s="8">
        <v>22177.74</v>
      </c>
      <c r="B57" s="8">
        <v>154806.14000000001</v>
      </c>
      <c r="C57" s="8">
        <v>28334.720000000001</v>
      </c>
      <c r="D57" s="8" t="s">
        <v>6</v>
      </c>
      <c r="E57" s="8">
        <v>65200.33</v>
      </c>
      <c r="F57" t="b">
        <f>OR(Outliers!E57&gt;Outliers!$J$13,Outliers!E57&lt;Outliers!$K$13)</f>
        <v>0</v>
      </c>
    </row>
    <row r="58" spans="1:9" x14ac:dyDescent="0.4">
      <c r="A58" s="8">
        <v>1000.23</v>
      </c>
      <c r="B58" s="8">
        <v>124153.04</v>
      </c>
      <c r="C58" s="8">
        <v>1903.93</v>
      </c>
      <c r="D58" s="8" t="s">
        <v>5</v>
      </c>
      <c r="E58" s="8">
        <v>64926.080000000002</v>
      </c>
      <c r="F58" t="b">
        <f>OR(Outliers!E58&gt;Outliers!$J$13,Outliers!E58&lt;Outliers!$K$13)</f>
        <v>0</v>
      </c>
    </row>
    <row r="59" spans="1:9" x14ac:dyDescent="0.4">
      <c r="A59" s="8">
        <v>1315.46</v>
      </c>
      <c r="B59" s="8">
        <v>115816.21</v>
      </c>
      <c r="C59" s="8">
        <v>297114.46000000002</v>
      </c>
      <c r="D59" s="8" t="s">
        <v>7</v>
      </c>
      <c r="E59" s="8">
        <v>49490.75</v>
      </c>
      <c r="F59" t="b">
        <f>OR(Outliers!E59&gt;Outliers!$J$13,Outliers!E59&lt;Outliers!$K$13)</f>
        <v>0</v>
      </c>
    </row>
    <row r="60" spans="1:9" x14ac:dyDescent="0.4">
      <c r="A60" s="8">
        <v>0</v>
      </c>
      <c r="B60" s="8">
        <v>135426.92000000001</v>
      </c>
      <c r="C60" s="8">
        <v>0</v>
      </c>
      <c r="D60" s="8" t="s">
        <v>6</v>
      </c>
      <c r="E60" s="8">
        <v>42559.73</v>
      </c>
      <c r="F60" t="b">
        <f>OR(Outliers!E60&gt;Outliers!$J$13,Outliers!E60&lt;Outliers!$K$13)</f>
        <v>0</v>
      </c>
    </row>
    <row r="61" spans="1:9" x14ac:dyDescent="0.4">
      <c r="A61" s="8">
        <v>542.04999999999995</v>
      </c>
      <c r="B61" s="8">
        <v>51743.15</v>
      </c>
      <c r="C61" s="8">
        <v>0</v>
      </c>
      <c r="D61" s="8" t="s">
        <v>5</v>
      </c>
      <c r="E61" s="8">
        <v>35673.410000000003</v>
      </c>
      <c r="F61" t="b">
        <f>OR(Outliers!E61&gt;Outliers!$J$13,Outliers!E61&lt;Outliers!$K$13)</f>
        <v>0</v>
      </c>
    </row>
    <row r="62" spans="1:9" x14ac:dyDescent="0.4">
      <c r="A62" s="8">
        <v>0</v>
      </c>
      <c r="B62" s="8">
        <v>116983.8</v>
      </c>
      <c r="C62" s="8">
        <v>45173.06</v>
      </c>
      <c r="D62" s="8" t="s">
        <v>6</v>
      </c>
      <c r="E62" s="10">
        <v>14681.4</v>
      </c>
      <c r="F62" s="11" t="b">
        <f>OR(Outliers!E62&gt;Outliers!$J$13,Outliers!E62&lt;Outliers!$K$13)</f>
        <v>1</v>
      </c>
      <c r="I62" s="12" t="s">
        <v>21</v>
      </c>
    </row>
    <row r="65" spans="1:57" x14ac:dyDescent="0.4">
      <c r="A65" s="13" t="s">
        <v>20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3" t="s">
        <v>20</v>
      </c>
      <c r="R65" s="14"/>
      <c r="S65" s="14"/>
      <c r="T65" s="14"/>
      <c r="U65" s="13" t="s">
        <v>20</v>
      </c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3" t="s">
        <v>20</v>
      </c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</row>
    <row r="68" spans="1:57" x14ac:dyDescent="0.4">
      <c r="A68" s="7" t="s">
        <v>0</v>
      </c>
      <c r="B68" s="7" t="s">
        <v>1</v>
      </c>
      <c r="C68" s="7" t="s">
        <v>2</v>
      </c>
      <c r="D68" s="7" t="s">
        <v>3</v>
      </c>
      <c r="E68" s="7" t="s">
        <v>4</v>
      </c>
    </row>
    <row r="69" spans="1:57" x14ac:dyDescent="0.4">
      <c r="A69" s="8">
        <v>165349.20000000001</v>
      </c>
      <c r="B69" s="8">
        <v>136897.79999999999</v>
      </c>
      <c r="C69" s="8">
        <v>471784.1</v>
      </c>
      <c r="D69" s="8" t="s">
        <v>5</v>
      </c>
      <c r="E69" s="8">
        <v>192261.83</v>
      </c>
    </row>
    <row r="70" spans="1:57" x14ac:dyDescent="0.4">
      <c r="A70" s="8">
        <v>162597.70000000001</v>
      </c>
      <c r="B70" s="8">
        <v>151377.59</v>
      </c>
      <c r="C70" s="8">
        <v>443898.53</v>
      </c>
      <c r="D70" s="8" t="s">
        <v>6</v>
      </c>
      <c r="E70" s="8">
        <v>191792.06</v>
      </c>
    </row>
    <row r="71" spans="1:57" x14ac:dyDescent="0.4">
      <c r="A71" s="8">
        <v>153441.51</v>
      </c>
      <c r="B71" s="8">
        <v>101145.55</v>
      </c>
      <c r="C71" s="8">
        <v>407934.54</v>
      </c>
      <c r="D71" s="8" t="s">
        <v>7</v>
      </c>
      <c r="E71" s="8">
        <v>191050.39</v>
      </c>
    </row>
    <row r="72" spans="1:57" x14ac:dyDescent="0.4">
      <c r="A72" s="8">
        <v>144372.41</v>
      </c>
      <c r="B72" s="8">
        <v>118671.85</v>
      </c>
      <c r="C72" s="8">
        <v>383199.62</v>
      </c>
      <c r="D72" s="8" t="s">
        <v>5</v>
      </c>
      <c r="E72" s="8">
        <v>182901.99</v>
      </c>
    </row>
    <row r="73" spans="1:57" x14ac:dyDescent="0.4">
      <c r="A73" s="8">
        <v>142107.34</v>
      </c>
      <c r="B73" s="8">
        <v>91391.77</v>
      </c>
      <c r="C73" s="8">
        <v>366168.42</v>
      </c>
      <c r="D73" s="8" t="s">
        <v>7</v>
      </c>
      <c r="E73" s="8">
        <v>166187.94</v>
      </c>
    </row>
    <row r="74" spans="1:57" x14ac:dyDescent="0.4">
      <c r="A74" s="8">
        <v>131876.9</v>
      </c>
      <c r="B74" s="8">
        <v>99814.71</v>
      </c>
      <c r="C74" s="8">
        <v>362861.36</v>
      </c>
      <c r="D74" s="8" t="s">
        <v>5</v>
      </c>
      <c r="E74" s="8">
        <v>156991.12</v>
      </c>
    </row>
    <row r="75" spans="1:57" x14ac:dyDescent="0.4">
      <c r="A75" s="8">
        <v>134615.46</v>
      </c>
      <c r="B75" s="8">
        <v>147198.87</v>
      </c>
      <c r="C75" s="8">
        <v>127716.82</v>
      </c>
      <c r="D75" s="8" t="s">
        <v>6</v>
      </c>
      <c r="E75" s="8">
        <v>156122.51</v>
      </c>
    </row>
    <row r="76" spans="1:57" x14ac:dyDescent="0.4">
      <c r="A76" s="8">
        <v>130298.13</v>
      </c>
      <c r="B76" s="8">
        <v>145530.06</v>
      </c>
      <c r="C76" s="8">
        <v>323876.68</v>
      </c>
      <c r="D76" s="8" t="s">
        <v>7</v>
      </c>
      <c r="E76" s="8">
        <v>155752.6</v>
      </c>
    </row>
    <row r="77" spans="1:57" x14ac:dyDescent="0.4">
      <c r="A77" s="8">
        <v>120542.52</v>
      </c>
      <c r="B77" s="8">
        <v>148718.95000000001</v>
      </c>
      <c r="C77" s="8">
        <v>311613.28999999998</v>
      </c>
      <c r="D77" s="8" t="s">
        <v>5</v>
      </c>
      <c r="E77" s="8">
        <v>152211.76999999999</v>
      </c>
    </row>
    <row r="78" spans="1:57" x14ac:dyDescent="0.4">
      <c r="A78" s="8">
        <v>123334.88</v>
      </c>
      <c r="B78" s="8">
        <v>108679.17</v>
      </c>
      <c r="C78" s="8">
        <v>304981.62</v>
      </c>
      <c r="D78" s="8" t="s">
        <v>6</v>
      </c>
      <c r="E78" s="8">
        <v>149759.96</v>
      </c>
    </row>
    <row r="79" spans="1:57" x14ac:dyDescent="0.4">
      <c r="A79" s="8">
        <v>101913.08</v>
      </c>
      <c r="B79" s="8">
        <v>110594.11</v>
      </c>
      <c r="C79" s="8">
        <v>229160.95</v>
      </c>
      <c r="D79" s="8" t="s">
        <v>7</v>
      </c>
      <c r="E79" s="8">
        <v>146121.95000000001</v>
      </c>
    </row>
    <row r="80" spans="1:57" x14ac:dyDescent="0.4">
      <c r="A80" s="8">
        <v>100671.96</v>
      </c>
      <c r="B80" s="8">
        <v>91790.61</v>
      </c>
      <c r="C80" s="8">
        <v>249744.55</v>
      </c>
      <c r="D80" s="8" t="s">
        <v>6</v>
      </c>
      <c r="E80" s="8">
        <v>144259.4</v>
      </c>
    </row>
    <row r="81" spans="1:5" x14ac:dyDescent="0.4">
      <c r="A81" s="8">
        <v>93863.75</v>
      </c>
      <c r="B81" s="8">
        <v>127320.38</v>
      </c>
      <c r="C81" s="8">
        <v>249839.44</v>
      </c>
      <c r="D81" s="8" t="s">
        <v>7</v>
      </c>
      <c r="E81" s="8">
        <v>141585.51999999999</v>
      </c>
    </row>
    <row r="82" spans="1:5" x14ac:dyDescent="0.4">
      <c r="A82" s="8">
        <v>91992.39</v>
      </c>
      <c r="B82" s="8">
        <v>135495.07</v>
      </c>
      <c r="C82" s="8">
        <v>252664.93</v>
      </c>
      <c r="D82" s="8" t="s">
        <v>6</v>
      </c>
      <c r="E82" s="8">
        <v>134307.35</v>
      </c>
    </row>
    <row r="83" spans="1:5" x14ac:dyDescent="0.4">
      <c r="A83" s="8">
        <v>119943.24</v>
      </c>
      <c r="B83" s="8">
        <v>156547.42000000001</v>
      </c>
      <c r="C83" s="8">
        <v>256512.92</v>
      </c>
      <c r="D83" s="8" t="s">
        <v>7</v>
      </c>
      <c r="E83" s="8">
        <v>132602.65</v>
      </c>
    </row>
    <row r="84" spans="1:5" x14ac:dyDescent="0.4">
      <c r="A84" s="8">
        <v>114523.61</v>
      </c>
      <c r="B84" s="8">
        <v>122616.84</v>
      </c>
      <c r="C84" s="8">
        <v>261776.23</v>
      </c>
      <c r="D84" s="8" t="s">
        <v>5</v>
      </c>
      <c r="E84" s="8">
        <v>129917.04</v>
      </c>
    </row>
    <row r="85" spans="1:5" x14ac:dyDescent="0.4">
      <c r="A85" s="8">
        <v>78013.11</v>
      </c>
      <c r="B85" s="8">
        <v>121597.55</v>
      </c>
      <c r="C85" s="8">
        <v>264346.06</v>
      </c>
      <c r="D85" s="8" t="s">
        <v>6</v>
      </c>
      <c r="E85" s="8">
        <v>126992.93</v>
      </c>
    </row>
    <row r="86" spans="1:5" x14ac:dyDescent="0.4">
      <c r="A86" s="8">
        <v>94657.16</v>
      </c>
      <c r="B86" s="8">
        <v>145077.57999999999</v>
      </c>
      <c r="C86" s="8">
        <v>282574.31</v>
      </c>
      <c r="D86" s="8" t="s">
        <v>5</v>
      </c>
      <c r="E86" s="8">
        <v>125370.37</v>
      </c>
    </row>
    <row r="87" spans="1:5" x14ac:dyDescent="0.4">
      <c r="A87" s="8">
        <v>91749.16</v>
      </c>
      <c r="B87" s="8">
        <v>114175.79</v>
      </c>
      <c r="C87" s="8">
        <v>294919.57</v>
      </c>
      <c r="D87" s="8" t="s">
        <v>7</v>
      </c>
      <c r="E87" s="8">
        <v>124266.9</v>
      </c>
    </row>
    <row r="88" spans="1:5" x14ac:dyDescent="0.4">
      <c r="A88" s="8">
        <v>86419.7</v>
      </c>
      <c r="B88" s="8">
        <v>153514.10999999999</v>
      </c>
      <c r="C88" s="8">
        <v>0</v>
      </c>
      <c r="D88" s="8" t="s">
        <v>5</v>
      </c>
      <c r="E88" s="8">
        <v>122776.86</v>
      </c>
    </row>
    <row r="89" spans="1:5" x14ac:dyDescent="0.4">
      <c r="A89" s="8">
        <v>76253.86</v>
      </c>
      <c r="B89" s="8">
        <v>113867.3</v>
      </c>
      <c r="C89" s="8">
        <v>298664.46999999997</v>
      </c>
      <c r="D89" s="8" t="s">
        <v>6</v>
      </c>
      <c r="E89" s="8">
        <v>118474.03</v>
      </c>
    </row>
    <row r="90" spans="1:5" x14ac:dyDescent="0.4">
      <c r="A90" s="8">
        <v>78389.47</v>
      </c>
      <c r="B90" s="8">
        <v>153773.43</v>
      </c>
      <c r="C90" s="8">
        <v>299737.28999999998</v>
      </c>
      <c r="D90" s="8" t="s">
        <v>5</v>
      </c>
      <c r="E90" s="8">
        <v>111313.02</v>
      </c>
    </row>
    <row r="91" spans="1:5" x14ac:dyDescent="0.4">
      <c r="A91" s="8">
        <v>73994.559999999998</v>
      </c>
      <c r="B91" s="8">
        <v>122782.75</v>
      </c>
      <c r="C91" s="8">
        <v>303319.26</v>
      </c>
      <c r="D91" s="8" t="s">
        <v>7</v>
      </c>
      <c r="E91" s="8">
        <v>110352.25</v>
      </c>
    </row>
    <row r="92" spans="1:5" x14ac:dyDescent="0.4">
      <c r="A92" s="8">
        <v>67532.53</v>
      </c>
      <c r="B92" s="8">
        <v>105751.03</v>
      </c>
      <c r="C92" s="8">
        <v>304768.73</v>
      </c>
      <c r="D92" s="8" t="s">
        <v>7</v>
      </c>
      <c r="E92" s="8">
        <v>108733.99</v>
      </c>
    </row>
    <row r="93" spans="1:5" x14ac:dyDescent="0.4">
      <c r="A93" s="8">
        <v>77044.009999999995</v>
      </c>
      <c r="B93" s="8">
        <v>99281.34</v>
      </c>
      <c r="C93" s="8">
        <v>140574.81</v>
      </c>
      <c r="D93" s="8" t="s">
        <v>5</v>
      </c>
      <c r="E93" s="8">
        <v>108552.04</v>
      </c>
    </row>
    <row r="94" spans="1:5" x14ac:dyDescent="0.4">
      <c r="A94" s="8">
        <v>64664.71</v>
      </c>
      <c r="B94" s="8">
        <v>139553.16</v>
      </c>
      <c r="C94" s="8">
        <v>137962.62</v>
      </c>
      <c r="D94" s="8" t="s">
        <v>6</v>
      </c>
      <c r="E94" s="8">
        <v>107404.34</v>
      </c>
    </row>
    <row r="95" spans="1:5" x14ac:dyDescent="0.4">
      <c r="A95" s="8">
        <v>75328.87</v>
      </c>
      <c r="B95" s="8">
        <v>144135.98000000001</v>
      </c>
      <c r="C95" s="8">
        <v>134050.07</v>
      </c>
      <c r="D95" s="8" t="s">
        <v>7</v>
      </c>
      <c r="E95" s="8">
        <v>105733.54</v>
      </c>
    </row>
    <row r="96" spans="1:5" x14ac:dyDescent="0.4">
      <c r="A96" s="8">
        <v>72107.600000000006</v>
      </c>
      <c r="B96" s="8">
        <v>127864.55</v>
      </c>
      <c r="C96" s="8">
        <v>353183.81</v>
      </c>
      <c r="D96" s="8" t="s">
        <v>5</v>
      </c>
      <c r="E96" s="8">
        <v>105008.31</v>
      </c>
    </row>
    <row r="97" spans="1:5" x14ac:dyDescent="0.4">
      <c r="A97" s="8">
        <v>66051.520000000004</v>
      </c>
      <c r="B97" s="8">
        <v>182645.56</v>
      </c>
      <c r="C97" s="8">
        <v>118148.2</v>
      </c>
      <c r="D97" s="8" t="s">
        <v>7</v>
      </c>
      <c r="E97" s="8">
        <v>103282.38</v>
      </c>
    </row>
    <row r="98" spans="1:5" x14ac:dyDescent="0.4">
      <c r="A98" s="8">
        <v>65605.48</v>
      </c>
      <c r="B98" s="8">
        <v>153032.06</v>
      </c>
      <c r="C98" s="8">
        <v>107138.38</v>
      </c>
      <c r="D98" s="8" t="s">
        <v>5</v>
      </c>
      <c r="E98" s="8">
        <v>101004.64</v>
      </c>
    </row>
    <row r="99" spans="1:5" x14ac:dyDescent="0.4">
      <c r="A99" s="8">
        <v>61994.48</v>
      </c>
      <c r="B99" s="8">
        <v>115641.28</v>
      </c>
      <c r="C99" s="8">
        <v>91131.24</v>
      </c>
      <c r="D99" s="8" t="s">
        <v>7</v>
      </c>
      <c r="E99" s="8">
        <v>99937.59</v>
      </c>
    </row>
    <row r="100" spans="1:5" x14ac:dyDescent="0.4">
      <c r="A100" s="8">
        <v>61136.38</v>
      </c>
      <c r="B100" s="8">
        <v>152701.92000000001</v>
      </c>
      <c r="C100" s="8">
        <v>88218.23</v>
      </c>
      <c r="D100" s="8" t="s">
        <v>5</v>
      </c>
      <c r="E100" s="8">
        <v>97483.56</v>
      </c>
    </row>
    <row r="101" spans="1:5" x14ac:dyDescent="0.4">
      <c r="A101" s="8">
        <v>63408.86</v>
      </c>
      <c r="B101" s="8">
        <v>129219.61</v>
      </c>
      <c r="C101" s="8">
        <v>46085.25</v>
      </c>
      <c r="D101" s="8" t="s">
        <v>6</v>
      </c>
      <c r="E101" s="8">
        <v>97427.839999999997</v>
      </c>
    </row>
    <row r="102" spans="1:5" x14ac:dyDescent="0.4">
      <c r="A102" s="8">
        <v>55493.95</v>
      </c>
      <c r="B102" s="8">
        <v>103057.49</v>
      </c>
      <c r="C102" s="8">
        <v>214634.81</v>
      </c>
      <c r="D102" s="8" t="s">
        <v>7</v>
      </c>
      <c r="E102" s="8">
        <v>96778.92</v>
      </c>
    </row>
    <row r="103" spans="1:5" x14ac:dyDescent="0.4">
      <c r="A103" s="8">
        <v>46426.07</v>
      </c>
      <c r="B103" s="8">
        <v>157693.92000000001</v>
      </c>
      <c r="C103" s="8">
        <v>210797.67</v>
      </c>
      <c r="D103" s="8" t="s">
        <v>6</v>
      </c>
      <c r="E103" s="8">
        <v>96712.8</v>
      </c>
    </row>
    <row r="104" spans="1:5" x14ac:dyDescent="0.4">
      <c r="A104" s="8">
        <v>46014.02</v>
      </c>
      <c r="B104" s="8">
        <v>85047.44</v>
      </c>
      <c r="C104" s="8">
        <v>205517.64</v>
      </c>
      <c r="D104" s="8" t="s">
        <v>5</v>
      </c>
      <c r="E104" s="8">
        <v>96479.51</v>
      </c>
    </row>
    <row r="105" spans="1:5" x14ac:dyDescent="0.4">
      <c r="A105" s="8">
        <v>28663.759999999998</v>
      </c>
      <c r="B105" s="8">
        <v>127056.21</v>
      </c>
      <c r="C105" s="8">
        <v>201126.82</v>
      </c>
      <c r="D105" s="8" t="s">
        <v>7</v>
      </c>
      <c r="E105" s="8">
        <v>90708.19</v>
      </c>
    </row>
    <row r="106" spans="1:5" x14ac:dyDescent="0.4">
      <c r="A106" s="8">
        <v>44069.95</v>
      </c>
      <c r="B106" s="8">
        <v>51283.14</v>
      </c>
      <c r="C106" s="8">
        <v>197029.42</v>
      </c>
      <c r="D106" s="8" t="s">
        <v>6</v>
      </c>
      <c r="E106" s="8">
        <v>89949.14</v>
      </c>
    </row>
    <row r="107" spans="1:5" x14ac:dyDescent="0.4">
      <c r="A107" s="8">
        <v>20229.59</v>
      </c>
      <c r="B107" s="8">
        <v>65947.929999999993</v>
      </c>
      <c r="C107" s="8">
        <v>185265.1</v>
      </c>
      <c r="D107" s="8" t="s">
        <v>5</v>
      </c>
      <c r="E107" s="8">
        <v>81229.06</v>
      </c>
    </row>
    <row r="108" spans="1:5" x14ac:dyDescent="0.4">
      <c r="A108" s="8">
        <v>38558.51</v>
      </c>
      <c r="B108" s="8">
        <v>82982.09</v>
      </c>
      <c r="C108" s="8">
        <v>174999.3</v>
      </c>
      <c r="D108" s="8" t="s">
        <v>6</v>
      </c>
      <c r="E108" s="8">
        <v>81005.759999999995</v>
      </c>
    </row>
    <row r="109" spans="1:5" x14ac:dyDescent="0.4">
      <c r="A109" s="8">
        <v>28754.33</v>
      </c>
      <c r="B109" s="8">
        <v>118546.05</v>
      </c>
      <c r="C109" s="8">
        <v>172795.67</v>
      </c>
      <c r="D109" s="8" t="s">
        <v>6</v>
      </c>
      <c r="E109" s="8">
        <v>78239.91</v>
      </c>
    </row>
    <row r="110" spans="1:5" x14ac:dyDescent="0.4">
      <c r="A110" s="8">
        <v>27892.92</v>
      </c>
      <c r="B110" s="8">
        <v>84710.77</v>
      </c>
      <c r="C110" s="8">
        <v>164470.71</v>
      </c>
      <c r="D110" s="8" t="s">
        <v>7</v>
      </c>
      <c r="E110" s="8">
        <v>77798.83</v>
      </c>
    </row>
    <row r="111" spans="1:5" x14ac:dyDescent="0.4">
      <c r="A111" s="8">
        <v>23640.93</v>
      </c>
      <c r="B111" s="8">
        <v>96189.63</v>
      </c>
      <c r="C111" s="8">
        <v>148001.10999999999</v>
      </c>
      <c r="D111" s="8" t="s">
        <v>6</v>
      </c>
      <c r="E111" s="8">
        <v>71498.490000000005</v>
      </c>
    </row>
    <row r="112" spans="1:5" x14ac:dyDescent="0.4">
      <c r="A112" s="8">
        <v>15505.73</v>
      </c>
      <c r="B112" s="8">
        <v>127382.3</v>
      </c>
      <c r="C112" s="8">
        <v>35534.17</v>
      </c>
      <c r="D112" s="8" t="s">
        <v>5</v>
      </c>
      <c r="E112" s="8">
        <v>69758.98</v>
      </c>
    </row>
    <row r="113" spans="1:5" x14ac:dyDescent="0.4">
      <c r="A113" s="8">
        <v>22177.74</v>
      </c>
      <c r="B113" s="8">
        <v>154806.14000000001</v>
      </c>
      <c r="C113" s="8">
        <v>28334.720000000001</v>
      </c>
      <c r="D113" s="8" t="s">
        <v>6</v>
      </c>
      <c r="E113" s="8">
        <v>65200.33</v>
      </c>
    </row>
    <row r="114" spans="1:5" x14ac:dyDescent="0.4">
      <c r="A114" s="8">
        <v>1000.23</v>
      </c>
      <c r="B114" s="8">
        <v>124153.04</v>
      </c>
      <c r="C114" s="8">
        <v>1903.93</v>
      </c>
      <c r="D114" s="8" t="s">
        <v>5</v>
      </c>
      <c r="E114" s="8">
        <v>64926.080000000002</v>
      </c>
    </row>
    <row r="115" spans="1:5" x14ac:dyDescent="0.4">
      <c r="A115" s="8">
        <v>1315.46</v>
      </c>
      <c r="B115" s="8">
        <v>115816.21</v>
      </c>
      <c r="C115" s="8">
        <v>297114.46000000002</v>
      </c>
      <c r="D115" s="8" t="s">
        <v>7</v>
      </c>
      <c r="E115" s="8">
        <v>49490.75</v>
      </c>
    </row>
    <row r="116" spans="1:5" x14ac:dyDescent="0.4">
      <c r="A116" s="8">
        <v>0</v>
      </c>
      <c r="B116" s="8">
        <v>135426.92000000001</v>
      </c>
      <c r="C116" s="8">
        <v>0</v>
      </c>
      <c r="D116" s="8" t="s">
        <v>6</v>
      </c>
      <c r="E116" s="8">
        <v>42559.73</v>
      </c>
    </row>
    <row r="117" spans="1:5" x14ac:dyDescent="0.4">
      <c r="A117" s="8">
        <v>542.04999999999995</v>
      </c>
      <c r="B117" s="8">
        <v>51743.15</v>
      </c>
      <c r="C117" s="8">
        <v>0</v>
      </c>
      <c r="D117" s="8" t="s">
        <v>5</v>
      </c>
      <c r="E117" s="8">
        <v>35673.410000000003</v>
      </c>
    </row>
    <row r="118" spans="1:5" x14ac:dyDescent="0.4">
      <c r="A118" s="8">
        <v>0</v>
      </c>
      <c r="B118" s="8">
        <v>116983.8</v>
      </c>
      <c r="C118" s="8">
        <v>45173.06</v>
      </c>
      <c r="D118" s="8" t="s">
        <v>6</v>
      </c>
      <c r="E118" s="8">
        <v>112012.6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05B9-B6D3-4F67-A3FA-610BB2D4018D}">
  <dimension ref="A1:E51"/>
  <sheetViews>
    <sheetView zoomScale="76" workbookViewId="0">
      <selection activeCell="I13" sqref="I13"/>
    </sheetView>
  </sheetViews>
  <sheetFormatPr defaultRowHeight="18" x14ac:dyDescent="0.4"/>
  <cols>
    <col min="1" max="1" width="10.140625" bestFit="1" customWidth="1"/>
    <col min="2" max="2" width="12.7109375" bestFit="1" customWidth="1"/>
    <col min="3" max="3" width="15.0703125" bestFit="1" customWidth="1"/>
    <col min="4" max="4" width="9" bestFit="1" customWidth="1"/>
    <col min="5" max="5" width="10.140625" bestFit="1" customWidth="1"/>
  </cols>
  <sheetData>
    <row r="1" spans="1:5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4">
      <c r="A2" s="8">
        <v>165349.20000000001</v>
      </c>
      <c r="B2" s="8">
        <v>136897.79999999999</v>
      </c>
      <c r="C2" s="8">
        <v>471784.1</v>
      </c>
      <c r="D2" s="8" t="s">
        <v>5</v>
      </c>
      <c r="E2" s="8">
        <v>192261.83</v>
      </c>
    </row>
    <row r="3" spans="1:5" x14ac:dyDescent="0.4">
      <c r="A3" s="8">
        <v>162597.70000000001</v>
      </c>
      <c r="B3" s="8">
        <v>151377.59</v>
      </c>
      <c r="C3" s="8">
        <v>443898.53</v>
      </c>
      <c r="D3" s="8" t="s">
        <v>6</v>
      </c>
      <c r="E3" s="8">
        <v>191792.06</v>
      </c>
    </row>
    <row r="4" spans="1:5" x14ac:dyDescent="0.4">
      <c r="A4" s="8">
        <v>153441.51</v>
      </c>
      <c r="B4" s="8">
        <v>101145.55</v>
      </c>
      <c r="C4" s="8">
        <v>407934.54</v>
      </c>
      <c r="D4" s="8" t="s">
        <v>7</v>
      </c>
      <c r="E4" s="8">
        <v>191050.39</v>
      </c>
    </row>
    <row r="5" spans="1:5" x14ac:dyDescent="0.4">
      <c r="A5" s="8">
        <v>144372.41</v>
      </c>
      <c r="B5" s="8">
        <v>118671.85</v>
      </c>
      <c r="C5" s="8">
        <v>383199.62</v>
      </c>
      <c r="D5" s="8" t="s">
        <v>5</v>
      </c>
      <c r="E5" s="8">
        <v>182901.99</v>
      </c>
    </row>
    <row r="6" spans="1:5" x14ac:dyDescent="0.4">
      <c r="A6" s="8">
        <v>142107.34</v>
      </c>
      <c r="B6" s="8">
        <v>91391.77</v>
      </c>
      <c r="C6" s="8">
        <v>366168.42</v>
      </c>
      <c r="D6" s="8" t="s">
        <v>7</v>
      </c>
      <c r="E6" s="8">
        <v>166187.94</v>
      </c>
    </row>
    <row r="7" spans="1:5" x14ac:dyDescent="0.4">
      <c r="A7" s="8">
        <v>131876.9</v>
      </c>
      <c r="B7" s="8">
        <v>99814.71</v>
      </c>
      <c r="C7" s="8">
        <v>362861.36</v>
      </c>
      <c r="D7" s="8" t="s">
        <v>5</v>
      </c>
      <c r="E7" s="8">
        <v>156991.12</v>
      </c>
    </row>
    <row r="8" spans="1:5" x14ac:dyDescent="0.4">
      <c r="A8" s="8">
        <v>134615.46</v>
      </c>
      <c r="B8" s="8">
        <v>147198.87</v>
      </c>
      <c r="C8" s="8">
        <v>127716.82</v>
      </c>
      <c r="D8" s="8" t="s">
        <v>6</v>
      </c>
      <c r="E8" s="8">
        <v>156122.51</v>
      </c>
    </row>
    <row r="9" spans="1:5" x14ac:dyDescent="0.4">
      <c r="A9" s="8">
        <v>130298.13</v>
      </c>
      <c r="B9" s="8">
        <v>145530.06</v>
      </c>
      <c r="C9" s="8">
        <v>323876.68</v>
      </c>
      <c r="D9" s="8" t="s">
        <v>7</v>
      </c>
      <c r="E9" s="8">
        <v>155752.6</v>
      </c>
    </row>
    <row r="10" spans="1:5" x14ac:dyDescent="0.4">
      <c r="A10" s="8">
        <v>120542.52</v>
      </c>
      <c r="B10" s="8">
        <v>148718.95000000001</v>
      </c>
      <c r="C10" s="8">
        <v>311613.28999999998</v>
      </c>
      <c r="D10" s="8" t="s">
        <v>5</v>
      </c>
      <c r="E10" s="8">
        <v>152211.76999999999</v>
      </c>
    </row>
    <row r="11" spans="1:5" x14ac:dyDescent="0.4">
      <c r="A11" s="8">
        <v>123334.88</v>
      </c>
      <c r="B11" s="8">
        <v>108679.17</v>
      </c>
      <c r="C11" s="8">
        <v>304981.62</v>
      </c>
      <c r="D11" s="8" t="s">
        <v>6</v>
      </c>
      <c r="E11" s="8">
        <v>149759.96</v>
      </c>
    </row>
    <row r="12" spans="1:5" x14ac:dyDescent="0.4">
      <c r="A12" s="8">
        <v>101913.08</v>
      </c>
      <c r="B12" s="8">
        <v>110594.11</v>
      </c>
      <c r="C12" s="8">
        <v>229160.95</v>
      </c>
      <c r="D12" s="8" t="s">
        <v>7</v>
      </c>
      <c r="E12" s="8">
        <v>146121.95000000001</v>
      </c>
    </row>
    <row r="13" spans="1:5" x14ac:dyDescent="0.4">
      <c r="A13" s="8">
        <v>100671.96</v>
      </c>
      <c r="B13" s="8">
        <v>91790.61</v>
      </c>
      <c r="C13" s="8">
        <v>249744.55</v>
      </c>
      <c r="D13" s="8" t="s">
        <v>6</v>
      </c>
      <c r="E13" s="8">
        <v>144259.4</v>
      </c>
    </row>
    <row r="14" spans="1:5" x14ac:dyDescent="0.4">
      <c r="A14" s="8">
        <v>93863.75</v>
      </c>
      <c r="B14" s="8">
        <v>127320.38</v>
      </c>
      <c r="C14" s="8">
        <v>249839.44</v>
      </c>
      <c r="D14" s="8" t="s">
        <v>7</v>
      </c>
      <c r="E14" s="8">
        <v>141585.51999999999</v>
      </c>
    </row>
    <row r="15" spans="1:5" x14ac:dyDescent="0.4">
      <c r="A15" s="8">
        <v>91992.39</v>
      </c>
      <c r="B15" s="8">
        <v>135495.07</v>
      </c>
      <c r="C15" s="8">
        <v>252664.93</v>
      </c>
      <c r="D15" s="8" t="s">
        <v>6</v>
      </c>
      <c r="E15" s="8">
        <v>134307.35</v>
      </c>
    </row>
    <row r="16" spans="1:5" x14ac:dyDescent="0.4">
      <c r="A16" s="8">
        <v>119943.24</v>
      </c>
      <c r="B16" s="8">
        <v>156547.42000000001</v>
      </c>
      <c r="C16" s="8">
        <v>256512.92</v>
      </c>
      <c r="D16" s="8" t="s">
        <v>7</v>
      </c>
      <c r="E16" s="8">
        <v>132602.65</v>
      </c>
    </row>
    <row r="17" spans="1:5" x14ac:dyDescent="0.4">
      <c r="A17" s="8">
        <v>114523.61</v>
      </c>
      <c r="B17" s="8">
        <v>122616.84</v>
      </c>
      <c r="C17" s="8">
        <v>261776.23</v>
      </c>
      <c r="D17" s="8" t="s">
        <v>5</v>
      </c>
      <c r="E17" s="8">
        <v>129917.04</v>
      </c>
    </row>
    <row r="18" spans="1:5" x14ac:dyDescent="0.4">
      <c r="A18" s="8">
        <v>78013.11</v>
      </c>
      <c r="B18" s="8">
        <v>121597.55</v>
      </c>
      <c r="C18" s="8">
        <v>264346.06</v>
      </c>
      <c r="D18" s="8" t="s">
        <v>6</v>
      </c>
      <c r="E18" s="8">
        <v>126992.93</v>
      </c>
    </row>
    <row r="19" spans="1:5" x14ac:dyDescent="0.4">
      <c r="A19" s="8">
        <v>94657.16</v>
      </c>
      <c r="B19" s="8">
        <v>145077.57999999999</v>
      </c>
      <c r="C19" s="8">
        <v>282574.31</v>
      </c>
      <c r="D19" s="8" t="s">
        <v>5</v>
      </c>
      <c r="E19" s="8">
        <v>125370.37</v>
      </c>
    </row>
    <row r="20" spans="1:5" x14ac:dyDescent="0.4">
      <c r="A20" s="8">
        <v>91749.16</v>
      </c>
      <c r="B20" s="8">
        <v>114175.79</v>
      </c>
      <c r="C20" s="8">
        <v>294919.57</v>
      </c>
      <c r="D20" s="8" t="s">
        <v>7</v>
      </c>
      <c r="E20" s="8">
        <v>124266.9</v>
      </c>
    </row>
    <row r="21" spans="1:5" x14ac:dyDescent="0.4">
      <c r="A21" s="8">
        <v>86419.7</v>
      </c>
      <c r="B21" s="8">
        <v>153514.10999999999</v>
      </c>
      <c r="C21" s="8">
        <v>0</v>
      </c>
      <c r="D21" s="8" t="s">
        <v>5</v>
      </c>
      <c r="E21" s="8">
        <v>122776.86</v>
      </c>
    </row>
    <row r="22" spans="1:5" x14ac:dyDescent="0.4">
      <c r="A22" s="8">
        <v>76253.86</v>
      </c>
      <c r="B22" s="8">
        <v>113867.3</v>
      </c>
      <c r="C22" s="8">
        <v>298664.46999999997</v>
      </c>
      <c r="D22" s="8" t="s">
        <v>6</v>
      </c>
      <c r="E22" s="8">
        <v>118474.03</v>
      </c>
    </row>
    <row r="23" spans="1:5" x14ac:dyDescent="0.4">
      <c r="A23" s="8">
        <v>78389.47</v>
      </c>
      <c r="B23" s="8">
        <v>153773.43</v>
      </c>
      <c r="C23" s="8">
        <v>299737.28999999998</v>
      </c>
      <c r="D23" s="8" t="s">
        <v>5</v>
      </c>
      <c r="E23" s="8">
        <v>111313.02</v>
      </c>
    </row>
    <row r="24" spans="1:5" x14ac:dyDescent="0.4">
      <c r="A24" s="8">
        <v>73994.559999999998</v>
      </c>
      <c r="B24" s="8">
        <v>122782.75</v>
      </c>
      <c r="C24" s="8">
        <v>303319.26</v>
      </c>
      <c r="D24" s="8" t="s">
        <v>7</v>
      </c>
      <c r="E24" s="8">
        <v>110352.25</v>
      </c>
    </row>
    <row r="25" spans="1:5" x14ac:dyDescent="0.4">
      <c r="A25" s="8">
        <v>67532.53</v>
      </c>
      <c r="B25" s="8">
        <v>105751.03</v>
      </c>
      <c r="C25" s="8">
        <v>304768.73</v>
      </c>
      <c r="D25" s="8" t="s">
        <v>7</v>
      </c>
      <c r="E25" s="8">
        <v>108733.99</v>
      </c>
    </row>
    <row r="26" spans="1:5" x14ac:dyDescent="0.4">
      <c r="A26" s="8">
        <v>77044.009999999995</v>
      </c>
      <c r="B26" s="8">
        <v>99281.34</v>
      </c>
      <c r="C26" s="8">
        <v>140574.81</v>
      </c>
      <c r="D26" s="8" t="s">
        <v>5</v>
      </c>
      <c r="E26" s="8">
        <v>108552.04</v>
      </c>
    </row>
    <row r="27" spans="1:5" x14ac:dyDescent="0.4">
      <c r="A27" s="8">
        <v>64664.71</v>
      </c>
      <c r="B27" s="8">
        <v>139553.16</v>
      </c>
      <c r="C27" s="8">
        <v>137962.62</v>
      </c>
      <c r="D27" s="8" t="s">
        <v>6</v>
      </c>
      <c r="E27" s="8">
        <v>107404.34</v>
      </c>
    </row>
    <row r="28" spans="1:5" x14ac:dyDescent="0.4">
      <c r="A28" s="8">
        <v>75328.87</v>
      </c>
      <c r="B28" s="8">
        <v>144135.98000000001</v>
      </c>
      <c r="C28" s="8">
        <v>134050.07</v>
      </c>
      <c r="D28" s="8" t="s">
        <v>7</v>
      </c>
      <c r="E28" s="8">
        <v>105733.54</v>
      </c>
    </row>
    <row r="29" spans="1:5" x14ac:dyDescent="0.4">
      <c r="A29" s="8">
        <v>72107.600000000006</v>
      </c>
      <c r="B29" s="8">
        <v>127864.55</v>
      </c>
      <c r="C29" s="8">
        <v>353183.81</v>
      </c>
      <c r="D29" s="8" t="s">
        <v>5</v>
      </c>
      <c r="E29" s="8">
        <v>105008.31</v>
      </c>
    </row>
    <row r="30" spans="1:5" x14ac:dyDescent="0.4">
      <c r="A30" s="8">
        <v>66051.520000000004</v>
      </c>
      <c r="B30" s="8">
        <v>182645.56</v>
      </c>
      <c r="C30" s="8">
        <v>118148.2</v>
      </c>
      <c r="D30" s="8" t="s">
        <v>7</v>
      </c>
      <c r="E30" s="8">
        <v>103282.38</v>
      </c>
    </row>
    <row r="31" spans="1:5" x14ac:dyDescent="0.4">
      <c r="A31" s="8">
        <v>65605.48</v>
      </c>
      <c r="B31" s="8">
        <v>153032.06</v>
      </c>
      <c r="C31" s="8">
        <v>107138.38</v>
      </c>
      <c r="D31" s="8" t="s">
        <v>5</v>
      </c>
      <c r="E31" s="8">
        <v>101004.64</v>
      </c>
    </row>
    <row r="32" spans="1:5" x14ac:dyDescent="0.4">
      <c r="A32" s="8">
        <v>61994.48</v>
      </c>
      <c r="B32" s="8">
        <v>115641.28</v>
      </c>
      <c r="C32" s="8">
        <v>91131.24</v>
      </c>
      <c r="D32" s="8" t="s">
        <v>7</v>
      </c>
      <c r="E32" s="8">
        <v>99937.59</v>
      </c>
    </row>
    <row r="33" spans="1:5" x14ac:dyDescent="0.4">
      <c r="A33" s="8">
        <v>61136.38</v>
      </c>
      <c r="B33" s="8">
        <v>152701.92000000001</v>
      </c>
      <c r="C33" s="8">
        <v>88218.23</v>
      </c>
      <c r="D33" s="8" t="s">
        <v>5</v>
      </c>
      <c r="E33" s="8">
        <v>97483.56</v>
      </c>
    </row>
    <row r="34" spans="1:5" x14ac:dyDescent="0.4">
      <c r="A34" s="8">
        <v>63408.86</v>
      </c>
      <c r="B34" s="8">
        <v>129219.61</v>
      </c>
      <c r="C34" s="8">
        <v>46085.25</v>
      </c>
      <c r="D34" s="8" t="s">
        <v>6</v>
      </c>
      <c r="E34" s="8">
        <v>97427.839999999997</v>
      </c>
    </row>
    <row r="35" spans="1:5" x14ac:dyDescent="0.4">
      <c r="A35" s="8">
        <v>55493.95</v>
      </c>
      <c r="B35" s="8">
        <v>103057.49</v>
      </c>
      <c r="C35" s="8">
        <v>214634.81</v>
      </c>
      <c r="D35" s="8" t="s">
        <v>7</v>
      </c>
      <c r="E35" s="8">
        <v>96778.92</v>
      </c>
    </row>
    <row r="36" spans="1:5" x14ac:dyDescent="0.4">
      <c r="A36" s="8">
        <v>46426.07</v>
      </c>
      <c r="B36" s="8">
        <v>157693.92000000001</v>
      </c>
      <c r="C36" s="8">
        <v>210797.67</v>
      </c>
      <c r="D36" s="8" t="s">
        <v>6</v>
      </c>
      <c r="E36" s="8">
        <v>96712.8</v>
      </c>
    </row>
    <row r="37" spans="1:5" x14ac:dyDescent="0.4">
      <c r="A37" s="8">
        <v>46014.02</v>
      </c>
      <c r="B37" s="8">
        <v>85047.44</v>
      </c>
      <c r="C37" s="8">
        <v>205517.64</v>
      </c>
      <c r="D37" s="8" t="s">
        <v>5</v>
      </c>
      <c r="E37" s="8">
        <v>96479.51</v>
      </c>
    </row>
    <row r="38" spans="1:5" x14ac:dyDescent="0.4">
      <c r="A38" s="8">
        <v>28663.759999999998</v>
      </c>
      <c r="B38" s="8">
        <v>127056.21</v>
      </c>
      <c r="C38" s="8">
        <v>201126.82</v>
      </c>
      <c r="D38" s="8" t="s">
        <v>7</v>
      </c>
      <c r="E38" s="8">
        <v>90708.19</v>
      </c>
    </row>
    <row r="39" spans="1:5" x14ac:dyDescent="0.4">
      <c r="A39" s="8">
        <v>44069.95</v>
      </c>
      <c r="B39" s="8">
        <v>51283.14</v>
      </c>
      <c r="C39" s="8">
        <v>197029.42</v>
      </c>
      <c r="D39" s="8" t="s">
        <v>6</v>
      </c>
      <c r="E39" s="8">
        <v>89949.14</v>
      </c>
    </row>
    <row r="40" spans="1:5" x14ac:dyDescent="0.4">
      <c r="A40" s="8">
        <v>20229.59</v>
      </c>
      <c r="B40" s="8">
        <v>65947.929999999993</v>
      </c>
      <c r="C40" s="8">
        <v>185265.1</v>
      </c>
      <c r="D40" s="8" t="s">
        <v>5</v>
      </c>
      <c r="E40" s="8">
        <v>81229.06</v>
      </c>
    </row>
    <row r="41" spans="1:5" x14ac:dyDescent="0.4">
      <c r="A41" s="8">
        <v>38558.51</v>
      </c>
      <c r="B41" s="8">
        <v>82982.09</v>
      </c>
      <c r="C41" s="8">
        <v>174999.3</v>
      </c>
      <c r="D41" s="8" t="s">
        <v>6</v>
      </c>
      <c r="E41" s="8">
        <v>81005.759999999995</v>
      </c>
    </row>
    <row r="42" spans="1:5" x14ac:dyDescent="0.4">
      <c r="A42" s="8">
        <v>28754.33</v>
      </c>
      <c r="B42" s="8">
        <v>118546.05</v>
      </c>
      <c r="C42" s="8">
        <v>172795.67</v>
      </c>
      <c r="D42" s="8" t="s">
        <v>6</v>
      </c>
      <c r="E42" s="8">
        <v>78239.91</v>
      </c>
    </row>
    <row r="43" spans="1:5" x14ac:dyDescent="0.4">
      <c r="A43" s="8">
        <v>27892.92</v>
      </c>
      <c r="B43" s="8">
        <v>84710.77</v>
      </c>
      <c r="C43" s="8">
        <v>164470.71</v>
      </c>
      <c r="D43" s="8" t="s">
        <v>7</v>
      </c>
      <c r="E43" s="8">
        <v>77798.83</v>
      </c>
    </row>
    <row r="44" spans="1:5" x14ac:dyDescent="0.4">
      <c r="A44" s="8">
        <v>23640.93</v>
      </c>
      <c r="B44" s="8">
        <v>96189.63</v>
      </c>
      <c r="C44" s="8">
        <v>148001.10999999999</v>
      </c>
      <c r="D44" s="8" t="s">
        <v>6</v>
      </c>
      <c r="E44" s="8">
        <v>71498.490000000005</v>
      </c>
    </row>
    <row r="45" spans="1:5" x14ac:dyDescent="0.4">
      <c r="A45" s="8">
        <v>15505.73</v>
      </c>
      <c r="B45" s="8">
        <v>127382.3</v>
      </c>
      <c r="C45" s="8">
        <v>35534.17</v>
      </c>
      <c r="D45" s="8" t="s">
        <v>5</v>
      </c>
      <c r="E45" s="8">
        <v>69758.98</v>
      </c>
    </row>
    <row r="46" spans="1:5" x14ac:dyDescent="0.4">
      <c r="A46" s="8">
        <v>22177.74</v>
      </c>
      <c r="B46" s="8">
        <v>154806.14000000001</v>
      </c>
      <c r="C46" s="8">
        <v>28334.720000000001</v>
      </c>
      <c r="D46" s="8" t="s">
        <v>6</v>
      </c>
      <c r="E46" s="8">
        <v>65200.33</v>
      </c>
    </row>
    <row r="47" spans="1:5" x14ac:dyDescent="0.4">
      <c r="A47" s="8">
        <v>1000.23</v>
      </c>
      <c r="B47" s="8">
        <v>124153.04</v>
      </c>
      <c r="C47" s="8">
        <v>1903.93</v>
      </c>
      <c r="D47" s="8" t="s">
        <v>5</v>
      </c>
      <c r="E47" s="8">
        <v>64926.080000000002</v>
      </c>
    </row>
    <row r="48" spans="1:5" x14ac:dyDescent="0.4">
      <c r="A48" s="8">
        <v>1315.46</v>
      </c>
      <c r="B48" s="8">
        <v>115816.21</v>
      </c>
      <c r="C48" s="8">
        <v>297114.46000000002</v>
      </c>
      <c r="D48" s="8" t="s">
        <v>7</v>
      </c>
      <c r="E48" s="8">
        <v>49490.75</v>
      </c>
    </row>
    <row r="49" spans="1:5" x14ac:dyDescent="0.4">
      <c r="A49" s="8">
        <v>0</v>
      </c>
      <c r="B49" s="8">
        <v>135426.92000000001</v>
      </c>
      <c r="C49" s="8">
        <v>0</v>
      </c>
      <c r="D49" s="8" t="s">
        <v>6</v>
      </c>
      <c r="E49" s="8">
        <v>42559.73</v>
      </c>
    </row>
    <row r="50" spans="1:5" x14ac:dyDescent="0.4">
      <c r="A50" s="8">
        <v>542.04999999999995</v>
      </c>
      <c r="B50" s="8">
        <v>51743.15</v>
      </c>
      <c r="C50" s="8">
        <v>0</v>
      </c>
      <c r="D50" s="8" t="s">
        <v>5</v>
      </c>
      <c r="E50" s="8">
        <v>35673.410000000003</v>
      </c>
    </row>
    <row r="51" spans="1:5" x14ac:dyDescent="0.4">
      <c r="A51" s="8">
        <v>0</v>
      </c>
      <c r="B51" s="8">
        <v>116983.8</v>
      </c>
      <c r="C51" s="8">
        <v>45173.06</v>
      </c>
      <c r="D51" s="8" t="s">
        <v>6</v>
      </c>
      <c r="E51" s="8">
        <v>112012.6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48886-7E1C-47BB-9A40-F3871BBA5B09}">
  <dimension ref="A1:AC82"/>
  <sheetViews>
    <sheetView tabSelected="1" topLeftCell="A40" zoomScale="73" zoomScaleNormal="100" workbookViewId="0">
      <selection activeCell="L57" sqref="L57"/>
    </sheetView>
  </sheetViews>
  <sheetFormatPr defaultRowHeight="18" x14ac:dyDescent="0.4"/>
  <cols>
    <col min="1" max="1" width="15.5703125" customWidth="1"/>
    <col min="2" max="2" width="12.92578125" bestFit="1" customWidth="1"/>
    <col min="3" max="3" width="15.28515625" bestFit="1" customWidth="1"/>
    <col min="4" max="4" width="9" bestFit="1" customWidth="1"/>
    <col min="5" max="5" width="10" bestFit="1" customWidth="1"/>
    <col min="7" max="7" width="18.42578125" customWidth="1"/>
    <col min="8" max="8" width="10.640625" bestFit="1" customWidth="1"/>
    <col min="9" max="10" width="12.78515625" bestFit="1" customWidth="1"/>
    <col min="11" max="12" width="13.0703125" bestFit="1" customWidth="1"/>
    <col min="13" max="15" width="9.42578125" bestFit="1" customWidth="1"/>
    <col min="18" max="18" width="8.5703125" customWidth="1"/>
    <col min="21" max="21" width="9.2109375" bestFit="1" customWidth="1"/>
    <col min="22" max="23" width="12.78515625" bestFit="1" customWidth="1"/>
    <col min="24" max="25" width="13.0703125" bestFit="1" customWidth="1"/>
    <col min="26" max="26" width="12.2109375" bestFit="1" customWidth="1"/>
    <col min="27" max="28" width="9.28515625" bestFit="1" customWidth="1"/>
    <col min="29" max="29" width="9.2109375" bestFit="1" customWidth="1"/>
  </cols>
  <sheetData>
    <row r="1" spans="1:20" x14ac:dyDescent="0.4">
      <c r="A1" s="5" t="s">
        <v>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20" x14ac:dyDescent="0.4">
      <c r="A2" s="5" t="s">
        <v>11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20" x14ac:dyDescent="0.4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20" ht="35" x14ac:dyDescent="0.4">
      <c r="A4" s="3" t="s">
        <v>8</v>
      </c>
      <c r="B4" s="3" t="s">
        <v>1</v>
      </c>
      <c r="C4" s="3" t="s">
        <v>9</v>
      </c>
      <c r="D4" s="3" t="s">
        <v>4</v>
      </c>
      <c r="E4" s="2"/>
      <c r="F4" s="15"/>
      <c r="G4" s="9"/>
      <c r="H4" s="2"/>
      <c r="I4" s="15"/>
      <c r="J4" s="9"/>
      <c r="K4" s="2"/>
      <c r="L4" s="2"/>
      <c r="M4" s="2"/>
      <c r="Q4" s="2"/>
      <c r="R4" s="2"/>
      <c r="S4" s="2"/>
      <c r="T4" s="2"/>
    </row>
    <row r="5" spans="1:20" x14ac:dyDescent="0.4">
      <c r="A5" s="4">
        <v>21892.92</v>
      </c>
      <c r="B5" s="4">
        <v>81910.77</v>
      </c>
      <c r="C5" s="4">
        <v>164270.70000000001</v>
      </c>
      <c r="D5" s="4"/>
      <c r="E5" s="2"/>
      <c r="F5" s="2"/>
      <c r="G5" s="2"/>
      <c r="H5" s="2"/>
      <c r="I5" s="2"/>
      <c r="J5" s="2"/>
      <c r="K5" s="2"/>
      <c r="L5" s="2"/>
      <c r="M5" s="2"/>
      <c r="Q5" s="2"/>
      <c r="R5" s="2"/>
      <c r="S5" s="2"/>
      <c r="T5" s="2"/>
    </row>
    <row r="6" spans="1:20" x14ac:dyDescent="0.4">
      <c r="A6" s="4">
        <v>23940.93</v>
      </c>
      <c r="B6" s="4">
        <v>96489.63</v>
      </c>
      <c r="C6" s="4">
        <v>137001.1</v>
      </c>
      <c r="D6" s="4"/>
      <c r="E6" s="2"/>
      <c r="F6" s="2"/>
      <c r="G6" s="2"/>
      <c r="H6" s="2"/>
      <c r="I6" s="2"/>
      <c r="J6" s="2"/>
      <c r="K6" s="2"/>
      <c r="L6" s="2"/>
      <c r="M6" s="2"/>
      <c r="Q6" s="2"/>
      <c r="R6" s="2"/>
      <c r="S6" s="2"/>
      <c r="T6" s="2"/>
    </row>
    <row r="7" spans="1:20" x14ac:dyDescent="0.4">
      <c r="Q7" s="2"/>
    </row>
    <row r="8" spans="1:20" x14ac:dyDescent="0.4">
      <c r="A8" s="16" t="s">
        <v>22</v>
      </c>
      <c r="B8" s="16"/>
      <c r="C8" s="16"/>
      <c r="D8" s="16"/>
      <c r="E8" s="16"/>
      <c r="F8" s="16"/>
      <c r="Q8" s="2"/>
    </row>
    <row r="9" spans="1:20" x14ac:dyDescent="0.4">
      <c r="A9" s="16" t="s">
        <v>23</v>
      </c>
      <c r="B9" s="16"/>
      <c r="C9" s="16"/>
      <c r="D9" s="16"/>
      <c r="E9" s="16"/>
      <c r="F9" s="16"/>
      <c r="Q9" s="2"/>
    </row>
    <row r="10" spans="1:20" x14ac:dyDescent="0.4">
      <c r="Q10" s="2"/>
    </row>
    <row r="11" spans="1:20" x14ac:dyDescent="0.4">
      <c r="Q11" s="2"/>
    </row>
    <row r="12" spans="1:20" x14ac:dyDescent="0.4">
      <c r="A12" s="7" t="s">
        <v>0</v>
      </c>
      <c r="B12" s="7" t="s">
        <v>1</v>
      </c>
      <c r="C12" s="7" t="s">
        <v>2</v>
      </c>
      <c r="D12" s="7" t="s">
        <v>3</v>
      </c>
      <c r="E12" s="7" t="s">
        <v>4</v>
      </c>
      <c r="G12" s="17"/>
      <c r="Q12" s="2"/>
    </row>
    <row r="13" spans="1:20" x14ac:dyDescent="0.4">
      <c r="A13" s="8">
        <v>165349.20000000001</v>
      </c>
      <c r="B13" s="8">
        <v>136897.79999999999</v>
      </c>
      <c r="C13" s="8">
        <v>471784.1</v>
      </c>
      <c r="D13" s="8" t="s">
        <v>5</v>
      </c>
      <c r="E13" s="8">
        <v>192261.83</v>
      </c>
      <c r="Q13" s="2"/>
    </row>
    <row r="14" spans="1:20" x14ac:dyDescent="0.4">
      <c r="A14" s="8">
        <v>162597.70000000001</v>
      </c>
      <c r="B14" s="8">
        <v>151377.59</v>
      </c>
      <c r="C14" s="8">
        <v>443898.53</v>
      </c>
      <c r="D14" s="8" t="s">
        <v>6</v>
      </c>
      <c r="E14" s="8">
        <v>191792.06</v>
      </c>
      <c r="G14" t="s">
        <v>25</v>
      </c>
      <c r="Q14" s="2"/>
    </row>
    <row r="15" spans="1:20" x14ac:dyDescent="0.4">
      <c r="A15" s="8">
        <v>153441.51</v>
      </c>
      <c r="B15" s="8">
        <v>101145.55</v>
      </c>
      <c r="C15" s="8">
        <v>407934.54</v>
      </c>
      <c r="D15" s="8" t="s">
        <v>7</v>
      </c>
      <c r="E15" s="8">
        <v>191050.39</v>
      </c>
      <c r="G15" t="s">
        <v>24</v>
      </c>
      <c r="Q15" s="2"/>
    </row>
    <row r="16" spans="1:20" x14ac:dyDescent="0.4">
      <c r="A16" s="8">
        <v>144372.41</v>
      </c>
      <c r="B16" s="8">
        <v>118671.85</v>
      </c>
      <c r="C16" s="8">
        <v>383199.62</v>
      </c>
      <c r="D16" s="8" t="s">
        <v>5</v>
      </c>
      <c r="E16" s="8">
        <v>182901.99</v>
      </c>
      <c r="G16" t="s">
        <v>62</v>
      </c>
      <c r="Q16" s="2"/>
    </row>
    <row r="17" spans="1:21" x14ac:dyDescent="0.4">
      <c r="A17" s="8">
        <v>142107.34</v>
      </c>
      <c r="B17" s="8">
        <v>91391.77</v>
      </c>
      <c r="C17" s="8">
        <v>366168.42</v>
      </c>
      <c r="D17" s="8" t="s">
        <v>7</v>
      </c>
      <c r="E17" s="8">
        <v>166187.94</v>
      </c>
      <c r="G17" t="s">
        <v>26</v>
      </c>
      <c r="Q17" s="2"/>
    </row>
    <row r="18" spans="1:21" x14ac:dyDescent="0.4">
      <c r="A18" s="8">
        <v>131876.9</v>
      </c>
      <c r="B18" s="8">
        <v>99814.71</v>
      </c>
      <c r="C18" s="8">
        <v>362861.36</v>
      </c>
      <c r="D18" s="8" t="s">
        <v>5</v>
      </c>
      <c r="E18" s="8">
        <v>156991.12</v>
      </c>
      <c r="Q18" s="2"/>
    </row>
    <row r="19" spans="1:21" x14ac:dyDescent="0.4">
      <c r="A19" s="8">
        <v>134615.46</v>
      </c>
      <c r="B19" s="8">
        <v>147198.87</v>
      </c>
      <c r="C19" s="8">
        <v>127716.82</v>
      </c>
      <c r="D19" s="8" t="s">
        <v>6</v>
      </c>
      <c r="E19" s="8">
        <v>156122.51</v>
      </c>
      <c r="Q19" s="2"/>
    </row>
    <row r="20" spans="1:21" x14ac:dyDescent="0.4">
      <c r="A20" s="8">
        <v>130298.13</v>
      </c>
      <c r="B20" s="8">
        <v>145530.06</v>
      </c>
      <c r="C20" s="8">
        <v>323876.68</v>
      </c>
      <c r="D20" s="8" t="s">
        <v>7</v>
      </c>
      <c r="E20" s="8">
        <v>155752.6</v>
      </c>
      <c r="G20" s="18" t="s">
        <v>27</v>
      </c>
      <c r="H20" s="18"/>
      <c r="I20" s="18"/>
      <c r="Q20" s="2"/>
      <c r="R20" s="2"/>
      <c r="S20" s="2"/>
      <c r="T20" s="2"/>
    </row>
    <row r="21" spans="1:21" x14ac:dyDescent="0.4">
      <c r="A21" s="8">
        <v>120542.52</v>
      </c>
      <c r="B21" s="8">
        <v>148718.95000000001</v>
      </c>
      <c r="C21" s="8">
        <v>311613.28999999998</v>
      </c>
      <c r="D21" s="8" t="s">
        <v>5</v>
      </c>
      <c r="E21" s="8">
        <v>152211.76999999999</v>
      </c>
      <c r="G21" t="s">
        <v>28</v>
      </c>
      <c r="Q21" s="2"/>
      <c r="R21" s="2"/>
      <c r="S21" s="2"/>
      <c r="T21" s="2"/>
    </row>
    <row r="22" spans="1:21" x14ac:dyDescent="0.4">
      <c r="A22" s="8">
        <v>123334.88</v>
      </c>
      <c r="B22" s="8">
        <v>108679.17</v>
      </c>
      <c r="C22" s="8">
        <v>304981.62</v>
      </c>
      <c r="D22" s="8" t="s">
        <v>6</v>
      </c>
      <c r="E22" s="8">
        <v>149759.96</v>
      </c>
      <c r="G22" t="s">
        <v>29</v>
      </c>
      <c r="Q22" s="2"/>
      <c r="R22" s="2"/>
      <c r="S22" s="2"/>
      <c r="T22" s="2"/>
    </row>
    <row r="23" spans="1:21" x14ac:dyDescent="0.4">
      <c r="A23" s="8">
        <v>101913.08</v>
      </c>
      <c r="B23" s="8">
        <v>110594.11</v>
      </c>
      <c r="C23" s="8">
        <v>229160.95</v>
      </c>
      <c r="D23" s="8" t="s">
        <v>7</v>
      </c>
      <c r="E23" s="8">
        <v>146121.95000000001</v>
      </c>
      <c r="G23" t="s">
        <v>30</v>
      </c>
      <c r="Q23" s="2"/>
    </row>
    <row r="24" spans="1:21" x14ac:dyDescent="0.4">
      <c r="A24" s="8">
        <v>100671.96</v>
      </c>
      <c r="B24" s="8">
        <v>91790.61</v>
      </c>
      <c r="C24" s="8">
        <v>249744.55</v>
      </c>
      <c r="D24" s="8" t="s">
        <v>6</v>
      </c>
      <c r="E24" s="8">
        <v>144259.4</v>
      </c>
    </row>
    <row r="25" spans="1:21" x14ac:dyDescent="0.4">
      <c r="A25" s="8">
        <v>93863.75</v>
      </c>
      <c r="B25" s="8">
        <v>127320.38</v>
      </c>
      <c r="C25" s="8">
        <v>249839.44</v>
      </c>
      <c r="D25" s="8" t="s">
        <v>7</v>
      </c>
      <c r="E25" s="8">
        <v>141585.51999999999</v>
      </c>
      <c r="G25" s="19" t="s">
        <v>31</v>
      </c>
      <c r="H25" s="19"/>
      <c r="I25" s="19"/>
    </row>
    <row r="26" spans="1:21" x14ac:dyDescent="0.4">
      <c r="A26" s="8">
        <v>91992.39</v>
      </c>
      <c r="B26" s="8">
        <v>135495.07</v>
      </c>
      <c r="C26" s="8">
        <v>252664.93</v>
      </c>
      <c r="D26" s="8" t="s">
        <v>6</v>
      </c>
      <c r="E26" s="8">
        <v>134307.35</v>
      </c>
    </row>
    <row r="27" spans="1:21" x14ac:dyDescent="0.4">
      <c r="A27" s="8">
        <v>119943.24</v>
      </c>
      <c r="B27" s="8">
        <v>156547.42000000001</v>
      </c>
      <c r="C27" s="8">
        <v>256512.92</v>
      </c>
      <c r="D27" s="8" t="s">
        <v>7</v>
      </c>
      <c r="E27" s="8">
        <v>132602.65</v>
      </c>
      <c r="G27" s="21" t="s">
        <v>32</v>
      </c>
      <c r="H27" s="21"/>
      <c r="I27" s="21"/>
      <c r="J27" s="21"/>
      <c r="K27" s="21"/>
      <c r="L27" s="21"/>
      <c r="M27" s="21"/>
      <c r="N27" s="21"/>
      <c r="O27" s="21"/>
      <c r="P27" s="21"/>
    </row>
    <row r="28" spans="1:21" ht="18.5" thickBot="1" x14ac:dyDescent="0.45">
      <c r="A28" s="8">
        <v>114523.61</v>
      </c>
      <c r="B28" s="8">
        <v>122616.84</v>
      </c>
      <c r="C28" s="8">
        <v>261776.23</v>
      </c>
      <c r="D28" s="8" t="s">
        <v>5</v>
      </c>
      <c r="E28" s="8">
        <v>129917.04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21" x14ac:dyDescent="0.4">
      <c r="A29" s="8">
        <v>78013.11</v>
      </c>
      <c r="B29" s="8">
        <v>121597.55</v>
      </c>
      <c r="C29" s="8">
        <v>264346.06</v>
      </c>
      <c r="D29" s="8" t="s">
        <v>6</v>
      </c>
      <c r="E29" s="8">
        <v>126992.93</v>
      </c>
      <c r="G29" s="20" t="s">
        <v>33</v>
      </c>
      <c r="H29" s="20"/>
      <c r="I29" s="21"/>
      <c r="J29" s="21"/>
      <c r="K29" s="21"/>
      <c r="L29" s="21"/>
      <c r="M29" s="21"/>
      <c r="N29" s="21"/>
      <c r="O29" s="21"/>
      <c r="P29" s="21"/>
      <c r="T29" s="32"/>
      <c r="U29" s="32"/>
    </row>
    <row r="30" spans="1:21" x14ac:dyDescent="0.4">
      <c r="A30" s="8">
        <v>94657.16</v>
      </c>
      <c r="B30" s="8">
        <v>145077.57999999999</v>
      </c>
      <c r="C30" s="8">
        <v>282574.31</v>
      </c>
      <c r="D30" s="8" t="s">
        <v>5</v>
      </c>
      <c r="E30" s="8">
        <v>125370.37</v>
      </c>
      <c r="G30" s="21" t="s">
        <v>34</v>
      </c>
      <c r="H30" s="21">
        <v>0.95496271083117767</v>
      </c>
      <c r="I30" s="21"/>
      <c r="J30" s="21"/>
      <c r="K30" s="21"/>
      <c r="L30" s="21"/>
      <c r="M30" s="21"/>
      <c r="N30" s="21"/>
      <c r="O30" s="21"/>
      <c r="P30" s="21"/>
    </row>
    <row r="31" spans="1:21" x14ac:dyDescent="0.4">
      <c r="A31" s="8">
        <v>91749.16</v>
      </c>
      <c r="B31" s="8">
        <v>114175.79</v>
      </c>
      <c r="C31" s="8">
        <v>294919.57</v>
      </c>
      <c r="D31" s="8" t="s">
        <v>7</v>
      </c>
      <c r="E31" s="8">
        <v>124266.9</v>
      </c>
      <c r="G31" s="21" t="s">
        <v>35</v>
      </c>
      <c r="H31" s="21">
        <v>0.91195377907803099</v>
      </c>
      <c r="I31" s="21"/>
      <c r="J31" s="21"/>
      <c r="K31" s="21"/>
      <c r="L31" s="21"/>
      <c r="M31" s="21"/>
      <c r="N31" s="21"/>
      <c r="O31" s="21"/>
      <c r="P31" s="21"/>
    </row>
    <row r="32" spans="1:21" x14ac:dyDescent="0.4">
      <c r="A32" s="8">
        <v>86419.7</v>
      </c>
      <c r="B32" s="8">
        <v>153514.10999999999</v>
      </c>
      <c r="C32" s="8">
        <v>0</v>
      </c>
      <c r="D32" s="8" t="s">
        <v>5</v>
      </c>
      <c r="E32" s="8">
        <v>122776.86</v>
      </c>
      <c r="G32" s="21" t="s">
        <v>36</v>
      </c>
      <c r="H32" s="21">
        <v>0.90621163423529438</v>
      </c>
      <c r="I32" s="21"/>
      <c r="J32" s="21"/>
      <c r="K32" s="21"/>
      <c r="L32" s="21"/>
      <c r="M32" s="21"/>
      <c r="N32" s="21"/>
      <c r="O32" s="21"/>
      <c r="P32" s="21"/>
    </row>
    <row r="33" spans="1:29" x14ac:dyDescent="0.4">
      <c r="A33" s="8">
        <v>76253.86</v>
      </c>
      <c r="B33" s="8">
        <v>113867.3</v>
      </c>
      <c r="C33" s="8">
        <v>298664.46999999997</v>
      </c>
      <c r="D33" s="8" t="s">
        <v>6</v>
      </c>
      <c r="E33" s="8">
        <v>118474.03</v>
      </c>
      <c r="G33" s="21" t="s">
        <v>37</v>
      </c>
      <c r="H33" s="21">
        <v>11570.321195209825</v>
      </c>
      <c r="I33" s="21"/>
      <c r="J33" s="21"/>
      <c r="K33" s="21"/>
      <c r="L33" s="21"/>
      <c r="M33" s="21"/>
      <c r="N33" s="21"/>
      <c r="O33" s="21"/>
      <c r="P33" s="21"/>
    </row>
    <row r="34" spans="1:29" ht="18.5" thickBot="1" x14ac:dyDescent="0.45">
      <c r="A34" s="8">
        <v>78389.47</v>
      </c>
      <c r="B34" s="8">
        <v>153773.43</v>
      </c>
      <c r="C34" s="8">
        <v>299737.28999999998</v>
      </c>
      <c r="D34" s="8" t="s">
        <v>5</v>
      </c>
      <c r="E34" s="8">
        <v>111313.02</v>
      </c>
      <c r="G34" s="22" t="s">
        <v>38</v>
      </c>
      <c r="H34" s="22">
        <v>50</v>
      </c>
      <c r="I34" s="21"/>
      <c r="J34" s="21"/>
      <c r="K34" s="21"/>
      <c r="L34" s="21"/>
      <c r="M34" s="21"/>
      <c r="N34" s="21"/>
      <c r="O34" s="21"/>
      <c r="P34" s="21"/>
      <c r="T34" s="30"/>
      <c r="U34" s="30"/>
    </row>
    <row r="35" spans="1:29" x14ac:dyDescent="0.4">
      <c r="A35" s="8">
        <v>73994.559999999998</v>
      </c>
      <c r="B35" s="8">
        <v>122782.75</v>
      </c>
      <c r="C35" s="8">
        <v>303319.26</v>
      </c>
      <c r="D35" s="8" t="s">
        <v>7</v>
      </c>
      <c r="E35" s="8">
        <v>110352.25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29" ht="18.5" thickBot="1" x14ac:dyDescent="0.45">
      <c r="A36" s="8">
        <v>67532.53</v>
      </c>
      <c r="B36" s="8">
        <v>105751.03</v>
      </c>
      <c r="C36" s="8">
        <v>304768.73</v>
      </c>
      <c r="D36" s="8" t="s">
        <v>7</v>
      </c>
      <c r="E36" s="8">
        <v>108733.99</v>
      </c>
      <c r="G36" s="21" t="s">
        <v>39</v>
      </c>
      <c r="H36" s="21"/>
      <c r="I36" s="21"/>
      <c r="J36" s="21"/>
      <c r="K36" s="21"/>
      <c r="L36" s="21"/>
      <c r="M36" s="21"/>
      <c r="N36" s="21"/>
      <c r="O36" s="21"/>
      <c r="P36" s="21"/>
    </row>
    <row r="37" spans="1:29" x14ac:dyDescent="0.4">
      <c r="A37" s="8">
        <v>77044.009999999995</v>
      </c>
      <c r="B37" s="8">
        <v>99281.34</v>
      </c>
      <c r="C37" s="8">
        <v>140574.81</v>
      </c>
      <c r="D37" s="8" t="s">
        <v>5</v>
      </c>
      <c r="E37" s="8">
        <v>108552.04</v>
      </c>
      <c r="G37" s="23"/>
      <c r="H37" s="23" t="s">
        <v>44</v>
      </c>
      <c r="I37" s="23" t="s">
        <v>45</v>
      </c>
      <c r="J37" s="23" t="s">
        <v>46</v>
      </c>
      <c r="K37" s="23" t="s">
        <v>47</v>
      </c>
      <c r="L37" s="23" t="s">
        <v>48</v>
      </c>
      <c r="M37" s="21"/>
      <c r="N37" s="21"/>
      <c r="O37" s="21"/>
      <c r="P37" s="21"/>
      <c r="T37" s="31"/>
      <c r="U37" s="31"/>
      <c r="V37" s="31"/>
      <c r="W37" s="31"/>
      <c r="X37" s="31"/>
      <c r="Y37" s="31"/>
    </row>
    <row r="38" spans="1:29" x14ac:dyDescent="0.4">
      <c r="A38" s="8">
        <v>64664.71</v>
      </c>
      <c r="B38" s="8">
        <v>139553.16</v>
      </c>
      <c r="C38" s="8">
        <v>137962.62</v>
      </c>
      <c r="D38" s="8" t="s">
        <v>6</v>
      </c>
      <c r="E38" s="8">
        <v>107404.34</v>
      </c>
      <c r="G38" s="21" t="s">
        <v>40</v>
      </c>
      <c r="H38" s="21">
        <v>3</v>
      </c>
      <c r="I38" s="21">
        <v>63783855825.2995</v>
      </c>
      <c r="J38" s="21">
        <v>21261285275.099834</v>
      </c>
      <c r="K38" s="21">
        <v>158.81762025413042</v>
      </c>
      <c r="L38" s="21">
        <v>2.8151585195954365E-24</v>
      </c>
      <c r="M38" s="21"/>
      <c r="N38" s="21"/>
      <c r="O38" s="21"/>
      <c r="P38" s="21"/>
    </row>
    <row r="39" spans="1:29" x14ac:dyDescent="0.4">
      <c r="A39" s="8">
        <v>75328.87</v>
      </c>
      <c r="B39" s="8">
        <v>144135.98000000001</v>
      </c>
      <c r="C39" s="8">
        <v>134050.07</v>
      </c>
      <c r="D39" s="8" t="s">
        <v>7</v>
      </c>
      <c r="E39" s="8">
        <v>105733.54</v>
      </c>
      <c r="G39" s="21" t="s">
        <v>41</v>
      </c>
      <c r="H39" s="21">
        <v>46</v>
      </c>
      <c r="I39" s="21">
        <v>6158127297.7747993</v>
      </c>
      <c r="J39" s="21">
        <v>133872332.56032172</v>
      </c>
      <c r="K39" s="21"/>
      <c r="L39" s="21"/>
      <c r="M39" s="21"/>
      <c r="N39" s="21"/>
      <c r="O39" s="21"/>
      <c r="P39" s="21"/>
    </row>
    <row r="40" spans="1:29" ht="18.5" thickBot="1" x14ac:dyDescent="0.45">
      <c r="A40" s="8">
        <v>72107.600000000006</v>
      </c>
      <c r="B40" s="8">
        <v>127864.55</v>
      </c>
      <c r="C40" s="8">
        <v>353183.81</v>
      </c>
      <c r="D40" s="8" t="s">
        <v>5</v>
      </c>
      <c r="E40" s="8">
        <v>105008.31</v>
      </c>
      <c r="G40" s="22" t="s">
        <v>42</v>
      </c>
      <c r="H40" s="22">
        <v>49</v>
      </c>
      <c r="I40" s="22">
        <v>69941983123.074295</v>
      </c>
      <c r="J40" s="22"/>
      <c r="K40" s="22"/>
      <c r="L40" s="22"/>
      <c r="M40" s="21"/>
      <c r="N40" s="21"/>
      <c r="O40" s="21"/>
      <c r="P40" s="21"/>
      <c r="T40" s="30"/>
      <c r="U40" s="30"/>
      <c r="V40" s="30"/>
      <c r="W40" s="30"/>
      <c r="X40" s="30"/>
      <c r="Y40" s="30"/>
    </row>
    <row r="41" spans="1:29" ht="18.5" thickBot="1" x14ac:dyDescent="0.45">
      <c r="A41" s="8">
        <v>66051.520000000004</v>
      </c>
      <c r="B41" s="8">
        <v>182645.56</v>
      </c>
      <c r="C41" s="8">
        <v>118148.2</v>
      </c>
      <c r="D41" s="8" t="s">
        <v>7</v>
      </c>
      <c r="E41" s="8">
        <v>103282.38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29" x14ac:dyDescent="0.4">
      <c r="A42" s="8">
        <v>65605.48</v>
      </c>
      <c r="B42" s="8">
        <v>153032.06</v>
      </c>
      <c r="C42" s="8">
        <v>107138.38</v>
      </c>
      <c r="D42" s="8" t="s">
        <v>5</v>
      </c>
      <c r="E42" s="8">
        <v>101004.64</v>
      </c>
      <c r="G42" s="23"/>
      <c r="H42" s="23" t="s">
        <v>49</v>
      </c>
      <c r="I42" s="23" t="s">
        <v>37</v>
      </c>
      <c r="J42" s="23" t="s">
        <v>50</v>
      </c>
      <c r="K42" s="23" t="s">
        <v>51</v>
      </c>
      <c r="L42" s="23" t="s">
        <v>52</v>
      </c>
      <c r="M42" s="23" t="s">
        <v>53</v>
      </c>
      <c r="N42" s="23" t="s">
        <v>54</v>
      </c>
      <c r="O42" s="23" t="s">
        <v>55</v>
      </c>
      <c r="P42" s="2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1:29" x14ac:dyDescent="0.4">
      <c r="A43" s="8">
        <v>61994.48</v>
      </c>
      <c r="B43" s="8">
        <v>115641.28</v>
      </c>
      <c r="C43" s="8">
        <v>91131.24</v>
      </c>
      <c r="D43" s="8" t="s">
        <v>7</v>
      </c>
      <c r="E43" s="8">
        <v>99937.59</v>
      </c>
      <c r="G43" s="21" t="s">
        <v>43</v>
      </c>
      <c r="H43" s="21">
        <v>56192.002766776699</v>
      </c>
      <c r="I43" s="21">
        <v>8236.7279980497315</v>
      </c>
      <c r="J43" s="21">
        <v>6.8221267935619148</v>
      </c>
      <c r="K43" s="21">
        <v>1.6850312376042655E-8</v>
      </c>
      <c r="L43" s="21">
        <v>39612.329230005911</v>
      </c>
      <c r="M43" s="21">
        <v>72771.676303547414</v>
      </c>
      <c r="N43" s="21">
        <v>39612.329230005911</v>
      </c>
      <c r="O43" s="21">
        <v>72771.676303547414</v>
      </c>
      <c r="P43" s="21"/>
    </row>
    <row r="44" spans="1:29" x14ac:dyDescent="0.4">
      <c r="A44" s="8">
        <v>61136.38</v>
      </c>
      <c r="B44" s="8">
        <v>152701.92000000001</v>
      </c>
      <c r="C44" s="8">
        <v>88218.23</v>
      </c>
      <c r="D44" s="8" t="s">
        <v>5</v>
      </c>
      <c r="E44" s="8">
        <v>97483.56</v>
      </c>
      <c r="G44" s="21" t="s">
        <v>0</v>
      </c>
      <c r="H44" s="21">
        <v>0.74471962740293896</v>
      </c>
      <c r="I44" s="21">
        <v>5.6580314846478505E-2</v>
      </c>
      <c r="J44" s="21">
        <v>13.16216831637672</v>
      </c>
      <c r="K44" s="26">
        <v>3.3045902567369399E-17</v>
      </c>
      <c r="L44" s="21">
        <v>0.63082936066298645</v>
      </c>
      <c r="M44" s="21">
        <v>0.85860989414289102</v>
      </c>
      <c r="N44" s="21">
        <v>0.63082936066298645</v>
      </c>
      <c r="O44" s="21">
        <v>0.85860989414289102</v>
      </c>
      <c r="P44" s="21"/>
    </row>
    <row r="45" spans="1:29" x14ac:dyDescent="0.4">
      <c r="A45" s="8">
        <v>63408.86</v>
      </c>
      <c r="B45" s="8">
        <v>129219.61</v>
      </c>
      <c r="C45" s="8">
        <v>46085.25</v>
      </c>
      <c r="D45" s="8" t="s">
        <v>6</v>
      </c>
      <c r="E45" s="8">
        <v>97427.839999999997</v>
      </c>
      <c r="G45" s="21" t="s">
        <v>1</v>
      </c>
      <c r="H45" s="21">
        <v>-1.4423619740084199E-2</v>
      </c>
      <c r="I45" s="21">
        <v>6.3951252257951535E-2</v>
      </c>
      <c r="J45" s="21">
        <v>-0.22554084917533126</v>
      </c>
      <c r="K45" s="21">
        <v>0.82255761325605448</v>
      </c>
      <c r="L45" s="21">
        <v>-0.14315081395550111</v>
      </c>
      <c r="M45" s="21">
        <v>0.11430357447533268</v>
      </c>
      <c r="N45" s="21">
        <v>-0.14315081395550111</v>
      </c>
      <c r="O45" s="21">
        <v>0.11430357447533268</v>
      </c>
      <c r="P45" s="21"/>
    </row>
    <row r="46" spans="1:29" ht="18.5" thickBot="1" x14ac:dyDescent="0.45">
      <c r="A46" s="8">
        <v>55493.95</v>
      </c>
      <c r="B46" s="8">
        <v>103057.49</v>
      </c>
      <c r="C46" s="8">
        <v>214634.81</v>
      </c>
      <c r="D46" s="8" t="s">
        <v>7</v>
      </c>
      <c r="E46" s="8">
        <v>96778.92</v>
      </c>
      <c r="G46" s="22" t="s">
        <v>2</v>
      </c>
      <c r="H46" s="22">
        <v>2.1872067916353009E-2</v>
      </c>
      <c r="I46" s="22">
        <v>2.0617327121632389E-2</v>
      </c>
      <c r="J46" s="22">
        <v>1.0608585578197527</v>
      </c>
      <c r="K46" s="22">
        <v>0.29429256570660661</v>
      </c>
      <c r="L46" s="22">
        <v>-1.9628459108263024E-2</v>
      </c>
      <c r="M46" s="22">
        <v>6.3372594940969043E-2</v>
      </c>
      <c r="N46" s="22">
        <v>-1.9628459108263024E-2</v>
      </c>
      <c r="O46" s="22">
        <v>6.3372594940969043E-2</v>
      </c>
      <c r="P46" s="21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spans="1:29" x14ac:dyDescent="0.4">
      <c r="A47" s="8">
        <v>46426.07</v>
      </c>
      <c r="B47" s="8">
        <v>157693.92000000001</v>
      </c>
      <c r="C47" s="8">
        <v>210797.67</v>
      </c>
      <c r="D47" s="8" t="s">
        <v>6</v>
      </c>
      <c r="E47" s="8">
        <v>96712.8</v>
      </c>
    </row>
    <row r="48" spans="1:29" x14ac:dyDescent="0.4">
      <c r="A48" s="8">
        <v>46014.02</v>
      </c>
      <c r="B48" s="8">
        <v>85047.44</v>
      </c>
      <c r="C48" s="8">
        <v>205517.64</v>
      </c>
      <c r="D48" s="8" t="s">
        <v>5</v>
      </c>
      <c r="E48" s="8">
        <v>96479.51</v>
      </c>
    </row>
    <row r="49" spans="1:18" x14ac:dyDescent="0.4">
      <c r="A49" s="8">
        <v>28663.759999999998</v>
      </c>
      <c r="B49" s="8">
        <v>127056.21</v>
      </c>
      <c r="C49" s="8">
        <v>201126.82</v>
      </c>
      <c r="D49" s="8" t="s">
        <v>7</v>
      </c>
      <c r="E49" s="8">
        <v>90708.19</v>
      </c>
      <c r="G49" s="16" t="s">
        <v>65</v>
      </c>
      <c r="H49" s="16"/>
      <c r="I49" s="16"/>
      <c r="J49" s="16"/>
      <c r="K49" s="16"/>
    </row>
    <row r="50" spans="1:18" x14ac:dyDescent="0.4">
      <c r="A50" s="8">
        <v>44069.95</v>
      </c>
      <c r="B50" s="8">
        <v>51283.14</v>
      </c>
      <c r="C50" s="8">
        <v>197029.42</v>
      </c>
      <c r="D50" s="8" t="s">
        <v>6</v>
      </c>
      <c r="E50" s="8">
        <v>89949.14</v>
      </c>
      <c r="G50" s="16"/>
      <c r="H50" s="16"/>
      <c r="I50" s="16"/>
      <c r="J50" s="16"/>
      <c r="K50" s="16"/>
    </row>
    <row r="51" spans="1:18" x14ac:dyDescent="0.4">
      <c r="A51" s="8">
        <v>20229.59</v>
      </c>
      <c r="B51" s="8">
        <v>65947.929999999993</v>
      </c>
      <c r="C51" s="8">
        <v>185265.1</v>
      </c>
      <c r="D51" s="8" t="s">
        <v>5</v>
      </c>
      <c r="E51" s="8">
        <v>81229.06</v>
      </c>
      <c r="G51" s="16" t="s">
        <v>66</v>
      </c>
      <c r="H51" s="16"/>
      <c r="I51" s="16"/>
      <c r="J51" s="16"/>
      <c r="K51" s="16"/>
    </row>
    <row r="52" spans="1:18" x14ac:dyDescent="0.4">
      <c r="A52" s="8">
        <v>38558.51</v>
      </c>
      <c r="B52" s="8">
        <v>82982.09</v>
      </c>
      <c r="C52" s="8">
        <v>174999.3</v>
      </c>
      <c r="D52" s="8" t="s">
        <v>6</v>
      </c>
      <c r="E52" s="8">
        <v>81005.759999999995</v>
      </c>
      <c r="G52" s="16"/>
      <c r="H52" s="16"/>
      <c r="I52" s="16"/>
      <c r="J52" s="16"/>
      <c r="K52" s="16"/>
      <c r="Q52" s="27"/>
      <c r="R52" s="28"/>
    </row>
    <row r="53" spans="1:18" x14ac:dyDescent="0.4">
      <c r="A53" s="8">
        <v>28754.33</v>
      </c>
      <c r="B53" s="8">
        <v>118546.05</v>
      </c>
      <c r="C53" s="8">
        <v>172795.67</v>
      </c>
      <c r="D53" s="8" t="s">
        <v>6</v>
      </c>
      <c r="E53" s="8">
        <v>78239.91</v>
      </c>
      <c r="G53" s="16" t="s">
        <v>68</v>
      </c>
      <c r="H53" s="16"/>
      <c r="I53" s="16"/>
      <c r="J53" s="16"/>
      <c r="K53" s="16"/>
    </row>
    <row r="54" spans="1:18" x14ac:dyDescent="0.4">
      <c r="A54" s="8">
        <v>27892.92</v>
      </c>
      <c r="B54" s="8">
        <v>84710.77</v>
      </c>
      <c r="C54" s="8">
        <v>164470.71</v>
      </c>
      <c r="D54" s="8" t="s">
        <v>7</v>
      </c>
      <c r="E54" s="8">
        <v>77798.83</v>
      </c>
      <c r="G54" s="16"/>
      <c r="H54" s="16"/>
      <c r="I54" s="16"/>
      <c r="J54" s="16"/>
      <c r="K54" s="16"/>
    </row>
    <row r="55" spans="1:18" x14ac:dyDescent="0.4">
      <c r="A55" s="8">
        <v>23640.93</v>
      </c>
      <c r="B55" s="8">
        <v>96189.63</v>
      </c>
      <c r="C55" s="8">
        <v>148001.10999999999</v>
      </c>
      <c r="D55" s="8" t="s">
        <v>6</v>
      </c>
      <c r="E55" s="8">
        <v>71498.490000000005</v>
      </c>
      <c r="G55" s="16" t="s">
        <v>67</v>
      </c>
      <c r="H55" s="16"/>
      <c r="I55" s="16"/>
      <c r="J55" s="16"/>
      <c r="K55" s="16"/>
    </row>
    <row r="56" spans="1:18" x14ac:dyDescent="0.4">
      <c r="A56" s="8">
        <v>15505.73</v>
      </c>
      <c r="B56" s="8">
        <v>127382.3</v>
      </c>
      <c r="C56" s="8">
        <v>35534.17</v>
      </c>
      <c r="D56" s="8" t="s">
        <v>5</v>
      </c>
      <c r="E56" s="8">
        <v>69758.98</v>
      </c>
      <c r="G56" s="16"/>
      <c r="H56" s="16"/>
      <c r="I56" s="16"/>
      <c r="J56" s="16"/>
      <c r="K56" s="16"/>
    </row>
    <row r="57" spans="1:18" x14ac:dyDescent="0.4">
      <c r="A57" s="8">
        <v>22177.74</v>
      </c>
      <c r="B57" s="8">
        <v>154806.14000000001</v>
      </c>
      <c r="C57" s="8">
        <v>28334.720000000001</v>
      </c>
      <c r="D57" s="8" t="s">
        <v>6</v>
      </c>
      <c r="E57" s="8">
        <v>65200.33</v>
      </c>
      <c r="G57" s="16" t="s">
        <v>64</v>
      </c>
      <c r="H57" s="16"/>
      <c r="I57" s="16"/>
      <c r="J57" s="16"/>
      <c r="K57" s="16"/>
    </row>
    <row r="58" spans="1:18" x14ac:dyDescent="0.4">
      <c r="A58" s="8">
        <v>1000.23</v>
      </c>
      <c r="B58" s="8">
        <v>124153.04</v>
      </c>
      <c r="C58" s="8">
        <v>1903.93</v>
      </c>
      <c r="D58" s="8" t="s">
        <v>5</v>
      </c>
      <c r="E58" s="8">
        <v>64926.080000000002</v>
      </c>
      <c r="G58" s="16"/>
      <c r="H58" s="16"/>
      <c r="I58" s="16"/>
      <c r="J58" s="16"/>
      <c r="K58" s="16"/>
    </row>
    <row r="59" spans="1:18" x14ac:dyDescent="0.4">
      <c r="A59" s="8">
        <v>1315.46</v>
      </c>
      <c r="B59" s="8">
        <v>115816.21</v>
      </c>
      <c r="C59" s="8">
        <v>297114.46000000002</v>
      </c>
      <c r="D59" s="8" t="s">
        <v>7</v>
      </c>
      <c r="E59" s="8">
        <v>49490.75</v>
      </c>
    </row>
    <row r="60" spans="1:18" x14ac:dyDescent="0.4">
      <c r="A60" s="8">
        <v>0</v>
      </c>
      <c r="B60" s="8">
        <v>135426.92000000001</v>
      </c>
      <c r="C60" s="8">
        <v>0</v>
      </c>
      <c r="D60" s="8" t="s">
        <v>6</v>
      </c>
      <c r="E60" s="8">
        <v>42559.73</v>
      </c>
    </row>
    <row r="61" spans="1:18" x14ac:dyDescent="0.4">
      <c r="A61" s="8">
        <v>542.04999999999995</v>
      </c>
      <c r="B61" s="8">
        <v>51743.15</v>
      </c>
      <c r="C61" s="8">
        <v>0</v>
      </c>
      <c r="D61" s="8" t="s">
        <v>5</v>
      </c>
      <c r="E61" s="8">
        <v>35673.410000000003</v>
      </c>
    </row>
    <row r="62" spans="1:18" x14ac:dyDescent="0.4">
      <c r="A62" s="8">
        <v>0</v>
      </c>
      <c r="B62" s="8">
        <v>116983.8</v>
      </c>
      <c r="C62" s="8">
        <v>45173.06</v>
      </c>
      <c r="D62" s="8" t="s">
        <v>6</v>
      </c>
      <c r="E62" s="8">
        <v>112012.6</v>
      </c>
      <c r="G62" s="33" t="s">
        <v>27</v>
      </c>
      <c r="H62" s="33"/>
    </row>
    <row r="63" spans="1:18" x14ac:dyDescent="0.4">
      <c r="G63" s="33"/>
      <c r="H63" s="33"/>
    </row>
    <row r="64" spans="1:18" x14ac:dyDescent="0.4">
      <c r="G64" t="s">
        <v>56</v>
      </c>
    </row>
    <row r="65" spans="7:11" x14ac:dyDescent="0.4">
      <c r="G65" s="24"/>
      <c r="H65" s="24"/>
      <c r="I65" s="24"/>
      <c r="J65" s="24"/>
      <c r="K65" s="24"/>
    </row>
    <row r="66" spans="7:11" x14ac:dyDescent="0.4">
      <c r="G66" s="29" t="s">
        <v>57</v>
      </c>
      <c r="H66" s="24" t="s">
        <v>61</v>
      </c>
      <c r="I66" s="24"/>
      <c r="J66" s="24"/>
      <c r="K66" s="24">
        <v>21892.92</v>
      </c>
    </row>
    <row r="67" spans="7:11" x14ac:dyDescent="0.4">
      <c r="G67" s="24"/>
      <c r="H67" s="24" t="s">
        <v>60</v>
      </c>
      <c r="I67" s="24"/>
      <c r="J67" s="24"/>
      <c r="K67" s="24">
        <v>81910.77</v>
      </c>
    </row>
    <row r="68" spans="7:11" x14ac:dyDescent="0.4">
      <c r="G68" s="24"/>
      <c r="H68" s="24" t="s">
        <v>59</v>
      </c>
      <c r="I68" s="24"/>
      <c r="J68" s="24"/>
      <c r="K68" s="24">
        <v>164270.70000000001</v>
      </c>
    </row>
    <row r="69" spans="7:11" x14ac:dyDescent="0.4">
      <c r="G69" s="24"/>
      <c r="H69" s="24"/>
      <c r="I69" s="24"/>
      <c r="J69" s="24"/>
      <c r="K69" s="24"/>
    </row>
    <row r="70" spans="7:11" x14ac:dyDescent="0.4">
      <c r="G70" s="24"/>
      <c r="H70" s="24"/>
      <c r="I70" s="24"/>
      <c r="J70" s="24"/>
      <c r="K70" s="24"/>
    </row>
    <row r="71" spans="7:11" x14ac:dyDescent="0.4">
      <c r="G71" s="24"/>
      <c r="H71" s="24"/>
      <c r="I71" s="24"/>
      <c r="J71" s="24"/>
      <c r="K71" s="24"/>
    </row>
    <row r="72" spans="7:11" x14ac:dyDescent="0.4">
      <c r="G72" s="19"/>
      <c r="H72" s="25" t="s">
        <v>63</v>
      </c>
      <c r="I72" s="19"/>
      <c r="J72" s="24"/>
      <c r="K72" s="24"/>
    </row>
    <row r="73" spans="7:11" x14ac:dyDescent="0.4">
      <c r="G73" s="19"/>
      <c r="H73" s="25">
        <f>0.7447*(K66)+(-0.0144)*(K67)+0.0218*(K68)+56192</f>
        <v>74897.243696000005</v>
      </c>
      <c r="I73" s="19"/>
      <c r="J73" s="24"/>
      <c r="K73" s="24"/>
    </row>
    <row r="76" spans="7:11" x14ac:dyDescent="0.4">
      <c r="G76" t="s">
        <v>56</v>
      </c>
    </row>
    <row r="77" spans="7:11" x14ac:dyDescent="0.4">
      <c r="G77" s="29" t="s">
        <v>58</v>
      </c>
      <c r="H77" s="24" t="s">
        <v>61</v>
      </c>
      <c r="I77" s="24"/>
      <c r="J77" s="24"/>
      <c r="K77" s="24">
        <v>23940.93</v>
      </c>
    </row>
    <row r="78" spans="7:11" x14ac:dyDescent="0.4">
      <c r="G78" s="24"/>
      <c r="H78" s="24" t="s">
        <v>60</v>
      </c>
      <c r="I78" s="24"/>
      <c r="J78" s="24"/>
      <c r="K78" s="24">
        <v>96489.63</v>
      </c>
    </row>
    <row r="79" spans="7:11" x14ac:dyDescent="0.4">
      <c r="G79" s="24"/>
      <c r="H79" s="24" t="s">
        <v>59</v>
      </c>
      <c r="I79" s="24"/>
      <c r="J79" s="24"/>
      <c r="K79" s="24">
        <v>137001.1</v>
      </c>
    </row>
    <row r="80" spans="7:11" x14ac:dyDescent="0.4">
      <c r="G80" s="24"/>
      <c r="H80" s="24"/>
      <c r="I80" s="24"/>
      <c r="J80" s="24"/>
      <c r="K80" s="24"/>
    </row>
    <row r="81" spans="7:11" x14ac:dyDescent="0.4">
      <c r="G81" s="19"/>
      <c r="H81" s="25" t="s">
        <v>63</v>
      </c>
      <c r="I81" s="19"/>
      <c r="J81" s="24"/>
      <c r="K81" s="24"/>
    </row>
    <row r="82" spans="7:11" x14ac:dyDescent="0.4">
      <c r="G82" s="19"/>
      <c r="H82" s="25">
        <f>0.7447*(K77)+(-0.0144)*(K78)+0.0218*(K79)+56192</f>
        <v>75617.983879000007</v>
      </c>
      <c r="I82" s="19"/>
      <c r="J82" s="24"/>
      <c r="K82" s="2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startup_table</vt:lpstr>
      <vt:lpstr>Outliers</vt:lpstr>
      <vt:lpstr>Cleaned_data</vt:lpstr>
      <vt:lpstr>Regression_analysis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VIKAS GAIKWAD</cp:lastModifiedBy>
  <dcterms:created xsi:type="dcterms:W3CDTF">2025-09-17T08:03:53Z</dcterms:created>
  <dcterms:modified xsi:type="dcterms:W3CDTF">2026-05-17T12:15:33Z</dcterms:modified>
</cp:coreProperties>
</file>